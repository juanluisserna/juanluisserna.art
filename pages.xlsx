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Fotos\juanluisserna.art\"/>
    </mc:Choice>
  </mc:AlternateContent>
  <xr:revisionPtr revIDLastSave="0" documentId="13_ncr:1_{73C33542-9BA0-4419-B629-B6859C5C1C99}" xr6:coauthVersionLast="47" xr6:coauthVersionMax="47" xr10:uidLastSave="{00000000-0000-0000-0000-000000000000}"/>
  <bookViews>
    <workbookView xWindow="20370" yWindow="-120" windowWidth="38640" windowHeight="21840" xr2:uid="{00000000-000D-0000-FFFF-FFFF00000000}"/>
  </bookViews>
  <sheets>
    <sheet name="photos" sheetId="1" r:id="rId1"/>
    <sheet name="metadata" sheetId="2" r:id="rId2"/>
    <sheet name="SEO 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YHBEJCrWL+Rv+lqhEXFyG9wov3SxWdfZuM9TS1TYFU="/>
    </ext>
  </extLst>
</workbook>
</file>

<file path=xl/calcChain.xml><?xml version="1.0" encoding="utf-8"?>
<calcChain xmlns="http://schemas.openxmlformats.org/spreadsheetml/2006/main">
  <c r="B127" i="1" l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26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89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57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3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6" i="1"/>
  <c r="B3" i="1"/>
  <c r="B4" i="1"/>
  <c r="B5" i="1"/>
  <c r="B2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26" i="1"/>
</calcChain>
</file>

<file path=xl/sharedStrings.xml><?xml version="1.0" encoding="utf-8"?>
<sst xmlns="http://schemas.openxmlformats.org/spreadsheetml/2006/main" count="1182" uniqueCount="403">
  <si>
    <t>Category</t>
  </si>
  <si>
    <t>Name of file</t>
  </si>
  <si>
    <t>Title</t>
  </si>
  <si>
    <t>Text</t>
  </si>
  <si>
    <t>Histogram name</t>
  </si>
  <si>
    <t>ISO</t>
  </si>
  <si>
    <t>Shutter Speed</t>
  </si>
  <si>
    <t>Aperture</t>
  </si>
  <si>
    <t>URL</t>
  </si>
  <si>
    <t>Format</t>
  </si>
  <si>
    <t>About Me</t>
  </si>
  <si>
    <t>aboutme1</t>
  </si>
  <si>
    <t>About Juan Luis Serna</t>
  </si>
  <si>
    <t>I'm Juan Luis, a Barcelona-based photographer painting stories with light. From weddings to sports, I capture moments that matter. Explore my work and let’s create something unforgettable together.</t>
  </si>
  <si>
    <t>histabout1</t>
  </si>
  <si>
    <t>1/125</t>
  </si>
  <si>
    <t>F5.6</t>
  </si>
  <si>
    <t>\#</t>
  </si>
  <si>
    <t>RAW</t>
  </si>
  <si>
    <t>aboutme2</t>
  </si>
  <si>
    <t>histabout2</t>
  </si>
  <si>
    <t>1/60</t>
  </si>
  <si>
    <t>F4.0</t>
  </si>
  <si>
    <t>aboutme3</t>
  </si>
  <si>
    <t>histabout3</t>
  </si>
  <si>
    <t>1/250</t>
  </si>
  <si>
    <t>F8.0</t>
  </si>
  <si>
    <t>aboutme4</t>
  </si>
  <si>
    <t>histabout4</t>
  </si>
  <si>
    <t>1/30</t>
  </si>
  <si>
    <t>F2.8</t>
  </si>
  <si>
    <t>Portraits</t>
  </si>
  <si>
    <t>port1</t>
  </si>
  <si>
    <t>Timeless Portraits</t>
  </si>
  <si>
    <t>Capturing love and connection, my portraits freeze your most cherished moments—candid, intimate, or bold. Let’s tell your story through my lens.</t>
  </si>
  <si>
    <t>histport1</t>
  </si>
  <si>
    <t>port2</t>
  </si>
  <si>
    <t>histport2</t>
  </si>
  <si>
    <t>1/400</t>
  </si>
  <si>
    <t>F3.5</t>
  </si>
  <si>
    <t>port3</t>
  </si>
  <si>
    <t>histport3</t>
  </si>
  <si>
    <t>port4</t>
  </si>
  <si>
    <t>histport4</t>
  </si>
  <si>
    <t>F2.2</t>
  </si>
  <si>
    <t>port5</t>
  </si>
  <si>
    <t>histport5</t>
  </si>
  <si>
    <t>1/200</t>
  </si>
  <si>
    <t>port6</t>
  </si>
  <si>
    <t>histport6</t>
  </si>
  <si>
    <t>1/100</t>
  </si>
  <si>
    <t>F3.2</t>
  </si>
  <si>
    <t>port7</t>
  </si>
  <si>
    <t>histport7</t>
  </si>
  <si>
    <t>1/500</t>
  </si>
  <si>
    <t>F4.5</t>
  </si>
  <si>
    <t>port8</t>
  </si>
  <si>
    <t>histport8</t>
  </si>
  <si>
    <t>1/80</t>
  </si>
  <si>
    <t>port9</t>
  </si>
  <si>
    <t>histport9</t>
  </si>
  <si>
    <t>1/160</t>
  </si>
  <si>
    <t>port10</t>
  </si>
  <si>
    <t>histport10</t>
  </si>
  <si>
    <t>port11</t>
  </si>
  <si>
    <t>histport11</t>
  </si>
  <si>
    <t>1/50</t>
  </si>
  <si>
    <t>F2.0</t>
  </si>
  <si>
    <t>port12</t>
  </si>
  <si>
    <t>histport12</t>
  </si>
  <si>
    <t>1/320</t>
  </si>
  <si>
    <t>port13</t>
  </si>
  <si>
    <t>histport13</t>
  </si>
  <si>
    <t>port14</t>
  </si>
  <si>
    <t>histport14</t>
  </si>
  <si>
    <t>port15</t>
  </si>
  <si>
    <t>histport15</t>
  </si>
  <si>
    <t>port16</t>
  </si>
  <si>
    <t>histport16</t>
  </si>
  <si>
    <t>port17</t>
  </si>
  <si>
    <t>histport17</t>
  </si>
  <si>
    <t>port18</t>
  </si>
  <si>
    <t>histport18</t>
  </si>
  <si>
    <t>port19</t>
  </si>
  <si>
    <t>histport19</t>
  </si>
  <si>
    <t>port20</t>
  </si>
  <si>
    <t>histport20</t>
  </si>
  <si>
    <t>port21</t>
  </si>
  <si>
    <t>histport21</t>
  </si>
  <si>
    <t>port22</t>
  </si>
  <si>
    <t>histport22</t>
  </si>
  <si>
    <t>port23</t>
  </si>
  <si>
    <t>histport23</t>
  </si>
  <si>
    <t>port24</t>
  </si>
  <si>
    <t>histport24</t>
  </si>
  <si>
    <t>port25</t>
  </si>
  <si>
    <t>histport25</t>
  </si>
  <si>
    <t>port26</t>
  </si>
  <si>
    <t>histport26</t>
  </si>
  <si>
    <t>port27</t>
  </si>
  <si>
    <t>histport27</t>
  </si>
  <si>
    <t>port28</t>
  </si>
  <si>
    <t>histport28</t>
  </si>
  <si>
    <t>port29</t>
  </si>
  <si>
    <t>histport29</t>
  </si>
  <si>
    <t>port30</t>
  </si>
  <si>
    <t>histport30</t>
  </si>
  <si>
    <t>Product Photography</t>
  </si>
  <si>
    <t>product1</t>
  </si>
  <si>
    <t>Product Brilliance</t>
  </si>
  <si>
    <t>From coffee to jewelry, my product photography highlights every detail, making your brand irresistible. Let’s elevate your visuals to sell your story.</t>
  </si>
  <si>
    <t>product1hist</t>
  </si>
  <si>
    <t>product2</t>
  </si>
  <si>
    <t>product2hist</t>
  </si>
  <si>
    <t>product3</t>
  </si>
  <si>
    <t>product3hist</t>
  </si>
  <si>
    <t>product4</t>
  </si>
  <si>
    <t>product4hist</t>
  </si>
  <si>
    <t>product5</t>
  </si>
  <si>
    <t>product5hist</t>
  </si>
  <si>
    <t>product6</t>
  </si>
  <si>
    <t>product6hist</t>
  </si>
  <si>
    <t>product7</t>
  </si>
  <si>
    <t>product7hist</t>
  </si>
  <si>
    <t>product8</t>
  </si>
  <si>
    <t>product8hist</t>
  </si>
  <si>
    <t>product9</t>
  </si>
  <si>
    <t>product9hist</t>
  </si>
  <si>
    <t>product10</t>
  </si>
  <si>
    <t>product10hist</t>
  </si>
  <si>
    <t>product11</t>
  </si>
  <si>
    <t>product11hist</t>
  </si>
  <si>
    <t>product12</t>
  </si>
  <si>
    <t>product12hist</t>
  </si>
  <si>
    <t>product13</t>
  </si>
  <si>
    <t>product13hist</t>
  </si>
  <si>
    <t>product14</t>
  </si>
  <si>
    <t>product14hist</t>
  </si>
  <si>
    <t>product15</t>
  </si>
  <si>
    <t>product15hist</t>
  </si>
  <si>
    <t>product16</t>
  </si>
  <si>
    <t>product16hist</t>
  </si>
  <si>
    <t>product17</t>
  </si>
  <si>
    <t>product17hist</t>
  </si>
  <si>
    <t>product18</t>
  </si>
  <si>
    <t>product18hist</t>
  </si>
  <si>
    <t>product19</t>
  </si>
  <si>
    <t>product19hist</t>
  </si>
  <si>
    <t>product20</t>
  </si>
  <si>
    <t>product20hist</t>
  </si>
  <si>
    <t>product21</t>
  </si>
  <si>
    <t>product21hist</t>
  </si>
  <si>
    <t>Sports</t>
  </si>
  <si>
    <t>sp1</t>
  </si>
  <si>
    <t>Action in Focus</t>
  </si>
  <si>
    <t>From sprints to slams, my sports photography captures the heart-pounding thrill of every moment. Let’s freeze your victories in time.</t>
  </si>
  <si>
    <t>1/800</t>
  </si>
  <si>
    <t>sp2</t>
  </si>
  <si>
    <t>1/1000</t>
  </si>
  <si>
    <t>sp3</t>
  </si>
  <si>
    <t>sp4</t>
  </si>
  <si>
    <t>1/640</t>
  </si>
  <si>
    <t>sp5</t>
  </si>
  <si>
    <t>sp6</t>
  </si>
  <si>
    <t>F2.5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</si>
  <si>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</si>
  <si>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</si>
  <si>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</si>
  <si>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</si>
  <si>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</si>
  <si>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</si>
  <si>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</si>
  <si>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</si>
  <si>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</si>
  <si>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</si>
  <si>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</si>
  <si>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</si>
  <si>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</si>
  <si>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</si>
  <si>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</si>
  <si>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</si>
  <si>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</si>
  <si>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</si>
  <si>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</si>
  <si>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</si>
  <si>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</si>
  <si>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</si>
  <si>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</si>
  <si>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</si>
  <si>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</si>
  <si>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</si>
  <si>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Travels</t>
  </si>
  <si>
    <t>travels1</t>
  </si>
  <si>
    <t>Wanderlust Woven</t>
  </si>
  <si>
    <t>Chasing horizons across deserts, cities, and seas, my travel photography captures the world’s stories. Let’s frame your adventures.</t>
  </si>
  <si>
    <t>travels2</t>
  </si>
  <si>
    <t>travels3</t>
  </si>
  <si>
    <t>travels4</t>
  </si>
  <si>
    <t>travels5</t>
  </si>
  <si>
    <t>travels6</t>
  </si>
  <si>
    <t>travels7</t>
  </si>
  <si>
    <t>F5.0</t>
  </si>
  <si>
    <t>travels8</t>
  </si>
  <si>
    <t>travels9</t>
  </si>
  <si>
    <t>travels10</t>
  </si>
  <si>
    <t>travels11</t>
  </si>
  <si>
    <t>travels12</t>
  </si>
  <si>
    <t>travels13</t>
  </si>
  <si>
    <t>travels14</t>
  </si>
  <si>
    <t>travels15</t>
  </si>
  <si>
    <t>travels16</t>
  </si>
  <si>
    <t>travels17</t>
  </si>
  <si>
    <t>travels18</t>
  </si>
  <si>
    <t>travels19</t>
  </si>
  <si>
    <t>travels20</t>
  </si>
  <si>
    <t>travels21</t>
  </si>
  <si>
    <t>travels22</t>
  </si>
  <si>
    <t>travels23</t>
  </si>
  <si>
    <t>travels24</t>
  </si>
  <si>
    <t>travels25</t>
  </si>
  <si>
    <t>travels26</t>
  </si>
  <si>
    <t>travels27</t>
  </si>
  <si>
    <t>travels28</t>
  </si>
  <si>
    <t>travels29</t>
  </si>
  <si>
    <t>travels30</t>
  </si>
  <si>
    <t>travels31</t>
  </si>
  <si>
    <t>travels32</t>
  </si>
  <si>
    <t>travels33</t>
  </si>
  <si>
    <t>travels34</t>
  </si>
  <si>
    <t>travels35</t>
  </si>
  <si>
    <t>travels36</t>
  </si>
  <si>
    <t>travels37</t>
  </si>
  <si>
    <t>Weddings</t>
  </si>
  <si>
    <t>wed1</t>
  </si>
  <si>
    <t>Forever Framed</t>
  </si>
  <si>
    <t>From vows to dances, my wedding photography immortalizes your love story with every glance and smile. Let’s capture your perfect day.</t>
  </si>
  <si>
    <t>wed2</t>
  </si>
  <si>
    <t>wed3</t>
  </si>
  <si>
    <t>wed4</t>
  </si>
  <si>
    <t>wed5</t>
  </si>
  <si>
    <t>wed6</t>
  </si>
  <si>
    <t>wed7</t>
  </si>
  <si>
    <t>wed8</t>
  </si>
  <si>
    <t>wed9</t>
  </si>
  <si>
    <t>wed10</t>
  </si>
  <si>
    <t>wed11</t>
  </si>
  <si>
    <t>wed12</t>
  </si>
  <si>
    <t>wed13</t>
  </si>
  <si>
    <t>wed14</t>
  </si>
  <si>
    <t>wed15</t>
  </si>
  <si>
    <t>wed16</t>
  </si>
  <si>
    <t>wed17</t>
  </si>
  <si>
    <t>wed18</t>
  </si>
  <si>
    <t>wed19</t>
  </si>
  <si>
    <t>wed20</t>
  </si>
  <si>
    <t>wed21</t>
  </si>
  <si>
    <t>wed22</t>
  </si>
  <si>
    <t>wed23</t>
  </si>
  <si>
    <t>wed24</t>
  </si>
  <si>
    <t>wed25</t>
  </si>
  <si>
    <t>wed26</t>
  </si>
  <si>
    <t>wed27</t>
  </si>
  <si>
    <t>wed28</t>
  </si>
  <si>
    <t>wed29</t>
  </si>
  <si>
    <t>wed30</t>
  </si>
  <si>
    <t>wed31</t>
  </si>
  <si>
    <t>wed32</t>
  </si>
  <si>
    <t>wed33</t>
  </si>
  <si>
    <t>wed34</t>
  </si>
  <si>
    <t>wed35</t>
  </si>
  <si>
    <t>wed36</t>
  </si>
  <si>
    <t>wed37</t>
  </si>
  <si>
    <t>Key</t>
  </si>
  <si>
    <t>Value</t>
  </si>
  <si>
    <t>Description</t>
  </si>
  <si>
    <t>Instagram</t>
  </si>
  <si>
    <t>https://instagram.com/juanluisserna_foto</t>
  </si>
  <si>
    <t>Link to Instagram profile for daily photo and video updates</t>
  </si>
  <si>
    <t>WhatsApp</t>
  </si>
  <si>
    <t>https://wa.me/34653413157</t>
  </si>
  <si>
    <t>WhatsApp contact link for direct inquiries</t>
  </si>
  <si>
    <t>X</t>
  </si>
  <si>
    <t>https://x.com/juanluisserna</t>
  </si>
  <si>
    <t>Link to X profile for thoughts and updates</t>
  </si>
  <si>
    <t>Email</t>
  </si>
  <si>
    <t>jlsernag@gmail.com</t>
  </si>
  <si>
    <t>Email address for professional inquiries (add if available)</t>
  </si>
  <si>
    <t>Location</t>
  </si>
  <si>
    <t>Barcelona, Spain</t>
  </si>
  <si>
    <t>Primary operating location for photography services</t>
  </si>
  <si>
    <t>Copyright</t>
  </si>
  <si>
    <t>© 2025 Juan Luis Serna Photography</t>
  </si>
  <si>
    <t>Copyright notice for website content</t>
  </si>
  <si>
    <t>Site Title</t>
  </si>
  <si>
    <t>Juan Luis Serna Photography</t>
  </si>
  <si>
    <t>The title of the website displayed in search results and browser tabs</t>
  </si>
  <si>
    <t>Professional photography by Juan Luis Serna in Barcelona. Weddings, couples, sports, products, and travel photography. Book now!</t>
  </si>
  <si>
    <t>A concise description of the website (150–160 characters) for search engines</t>
  </si>
  <si>
    <t>Keywords</t>
  </si>
  <si>
    <t>Barcelona photographer, professional photography, wedding photography, couples photography, sports photography, product photography, travel photography, Juan Luis Serna</t>
  </si>
  <si>
    <t>Relevant keywords to improve search engine ranking</t>
  </si>
  <si>
    <t>Author</t>
  </si>
  <si>
    <t>Juan Luis Serna</t>
  </si>
  <si>
    <t>The creator of the website</t>
  </si>
  <si>
    <t>Robots</t>
  </si>
  <si>
    <t>index, follow</t>
  </si>
  <si>
    <t>Directs search engines to index the page and follow links</t>
  </si>
  <si>
    <t>og:title</t>
  </si>
  <si>
    <t>Open Graph title for social media sharing</t>
  </si>
  <si>
    <t>og:description</t>
  </si>
  <si>
    <t>Discover stunning photography by Juan Luis Serna in Barcelona. Specializing in weddings, couples, sports, products, and travel.</t>
  </si>
  <si>
    <t>Open Graph description for social media</t>
  </si>
  <si>
    <t>og:image</t>
  </si>
  <si>
    <t>./assets/images/logo/logo.png</t>
  </si>
  <si>
    <t>Image displayed when the website is shared on social media</t>
  </si>
  <si>
    <t>og:url</t>
  </si>
  <si>
    <t>https://juanluisserna.art</t>
  </si>
  <si>
    <t>Canonical URL for the website</t>
  </si>
  <si>
    <t>og:type</t>
  </si>
  <si>
    <t>website</t>
  </si>
  <si>
    <t>Type of Open Graph object</t>
  </si>
  <si>
    <t>twitter:card</t>
  </si>
  <si>
    <t>summary_large_image</t>
  </si>
  <si>
    <t>Twitter card type for rich media sharing</t>
  </si>
  <si>
    <t>twitter:creator</t>
  </si>
  <si>
    <t>@juanluisserna</t>
  </si>
  <si>
    <t>Twitter handle of the website creator</t>
  </si>
  <si>
    <t>twitter:title</t>
  </si>
  <si>
    <t>Twitter card title</t>
  </si>
  <si>
    <t>twitter:description</t>
  </si>
  <si>
    <t>Explore professional photography by Juan Luis Serna in Barcelona—weddings, couples, sports, and more.</t>
  </si>
  <si>
    <t>Twitter card description</t>
  </si>
  <si>
    <t>twitter:image</t>
  </si>
  <si>
    <t>Image for Twitter card</t>
  </si>
  <si>
    <t>sphist1</t>
  </si>
  <si>
    <t>sphist2</t>
  </si>
  <si>
    <t>sphist3</t>
  </si>
  <si>
    <t>sphist4</t>
  </si>
  <si>
    <t>sphist5</t>
  </si>
  <si>
    <t>sphist6</t>
  </si>
  <si>
    <t>sphist7</t>
  </si>
  <si>
    <t>sphist8</t>
  </si>
  <si>
    <t>sphist9</t>
  </si>
  <si>
    <t>sphist10</t>
  </si>
  <si>
    <t>sphist11</t>
  </si>
  <si>
    <t>sphist12</t>
  </si>
  <si>
    <t>sphist13</t>
  </si>
  <si>
    <t>sphist14</t>
  </si>
  <si>
    <t>sphist15</t>
  </si>
  <si>
    <t>sphist16</t>
  </si>
  <si>
    <t>sphist17</t>
  </si>
  <si>
    <t>sphist18</t>
  </si>
  <si>
    <t>sphist19</t>
  </si>
  <si>
    <t>sphist20</t>
  </si>
  <si>
    <t>sphist21</t>
  </si>
  <si>
    <t>sphist22</t>
  </si>
  <si>
    <t>sphist23</t>
  </si>
  <si>
    <t>sphist24</t>
  </si>
  <si>
    <t>sphist25</t>
  </si>
  <si>
    <t>sphist26</t>
  </si>
  <si>
    <t>sphist27</t>
  </si>
  <si>
    <t>sphist28</t>
  </si>
  <si>
    <t>sphist29</t>
  </si>
  <si>
    <t>sphist30</t>
  </si>
  <si>
    <t>sphist31</t>
  </si>
  <si>
    <t>sphist32</t>
  </si>
  <si>
    <t>travelhist1</t>
  </si>
  <si>
    <t>travelhist2</t>
  </si>
  <si>
    <t>travelhist3</t>
  </si>
  <si>
    <t>travelhist4</t>
  </si>
  <si>
    <t>travelhist5</t>
  </si>
  <si>
    <t>travelhist6</t>
  </si>
  <si>
    <t>travelhist7</t>
  </si>
  <si>
    <t>travelhist8</t>
  </si>
  <si>
    <t>travelhist9</t>
  </si>
  <si>
    <t>travelhist10</t>
  </si>
  <si>
    <t>travelhist11</t>
  </si>
  <si>
    <t>travelhist12</t>
  </si>
  <si>
    <t>travelhist13</t>
  </si>
  <si>
    <t>travelhist14</t>
  </si>
  <si>
    <t>travelhist15</t>
  </si>
  <si>
    <t>travelhist16</t>
  </si>
  <si>
    <t>travelhist17</t>
  </si>
  <si>
    <t>travelhist18</t>
  </si>
  <si>
    <t>travelhist19</t>
  </si>
  <si>
    <t>travelhist20</t>
  </si>
  <si>
    <t>travelhist21</t>
  </si>
  <si>
    <t>travelhist22</t>
  </si>
  <si>
    <t>travelhist23</t>
  </si>
  <si>
    <t>travelhist24</t>
  </si>
  <si>
    <t>travelhist25</t>
  </si>
  <si>
    <t>travelhist26</t>
  </si>
  <si>
    <t>travelhist27</t>
  </si>
  <si>
    <t>travelhist28</t>
  </si>
  <si>
    <t>travelhist29</t>
  </si>
  <si>
    <t>travelhist30</t>
  </si>
  <si>
    <t>travelhist31</t>
  </si>
  <si>
    <t>travelhist32</t>
  </si>
  <si>
    <t>travelhist33</t>
  </si>
  <si>
    <t>travelhist34</t>
  </si>
  <si>
    <t>travelhist35</t>
  </si>
  <si>
    <t>travelhist36</t>
  </si>
  <si>
    <t>travelhist37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</si>
</sst>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yyyy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rgb="FF0000FF"/>
      <name val="Roboto"/>
    </font>
    <font>
      <u/>
      <sz val="11"/>
      <color rgb="FF0000FF"/>
      <name val="Roboto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6" xfId="0" applyFont="1" applyBorder="1" applyAlignment="1">
      <alignment horizontal="left" vertical="center"/>
    </xf>
    <xf numFmtId="0" fontId="1" fillId="0" borderId="17" xfId="0" applyNumberFormat="1" applyFont="1" applyBorder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6F8F9"/>
        </right>
        <top style="thin">
          <color rgb="FFF6F8F9"/>
        </top>
        <bottom style="thin">
          <color rgb="FFF6F8F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photos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metadata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SEO metadata-style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4" displayName="Tabla_4" ref="A1:K162">
  <tableColumns count="11">
    <tableColumn id="1" xr3:uid="{00000000-0010-0000-0000-000001000000}" name="Category"/>
    <tableColumn id="11" xr3:uid="{66D9221E-D288-4F0D-B3B8-587EDE05F329}" name="Location" dataDxfId="0"/>
    <tableColumn id="2" xr3:uid="{00000000-0010-0000-0000-000002000000}" name="Name of file"/>
    <tableColumn id="3" xr3:uid="{00000000-0010-0000-0000-000003000000}" name="Title"/>
    <tableColumn id="4" xr3:uid="{00000000-0010-0000-0000-000004000000}" name="Text"/>
    <tableColumn id="5" xr3:uid="{00000000-0010-0000-0000-000005000000}" name="Histogram name"/>
    <tableColumn id="6" xr3:uid="{00000000-0010-0000-0000-000006000000}" name="ISO"/>
    <tableColumn id="7" xr3:uid="{00000000-0010-0000-0000-000007000000}" name="Shutter Speed"/>
    <tableColumn id="8" xr3:uid="{00000000-0010-0000-0000-000008000000}" name="Aperture"/>
    <tableColumn id="9" xr3:uid="{00000000-0010-0000-0000-000009000000}" name="URL"/>
    <tableColumn id="10" xr3:uid="{00000000-0010-0000-0000-00000A000000}" name="Format"/>
  </tableColumns>
  <tableStyleInfo name="pho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C7">
  <tableColumns count="3">
    <tableColumn id="1" xr3:uid="{00000000-0010-0000-0100-000001000000}" name="Key"/>
    <tableColumn id="2" xr3:uid="{00000000-0010-0000-0100-000002000000}" name="Value"/>
    <tableColumn id="3" xr3:uid="{00000000-0010-0000-0100-000003000000}" name="Description"/>
  </tableColumns>
  <tableStyleInfo name="meta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3" displayName="Tabla_3" ref="A1:C16">
  <tableColumns count="3">
    <tableColumn id="1" xr3:uid="{00000000-0010-0000-0200-000001000000}" name="Key"/>
    <tableColumn id="2" xr3:uid="{00000000-0010-0000-0200-000002000000}" name="Value"/>
    <tableColumn id="3" xr3:uid="{00000000-0010-0000-0200-000003000000}" name="Description"/>
  </tableColumns>
  <tableStyleInfo name="SEO meta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juanluisserna" TargetMode="External"/><Relationship Id="rId2" Type="http://schemas.openxmlformats.org/officeDocument/2006/relationships/hyperlink" Target="https://wa.me/34653413157" TargetMode="External"/><Relationship Id="rId1" Type="http://schemas.openxmlformats.org/officeDocument/2006/relationships/hyperlink" Target="https://instagram.com/juanluisserna_foto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juanluisserna.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>
      <pane ySplit="1" topLeftCell="A27" activePane="bottomLeft" state="frozen"/>
      <selection pane="bottomLeft" activeCell="D151" sqref="D151"/>
    </sheetView>
  </sheetViews>
  <sheetFormatPr baseColWidth="10" defaultColWidth="12.5703125" defaultRowHeight="15" customHeight="1" x14ac:dyDescent="0.25"/>
  <cols>
    <col min="1" max="1" width="16.140625" customWidth="1"/>
    <col min="2" max="2" width="36.85546875" bestFit="1" customWidth="1"/>
    <col min="3" max="3" width="15.42578125" customWidth="1"/>
    <col min="4" max="4" width="20.42578125" customWidth="1"/>
    <col min="5" max="5" width="37.5703125" customWidth="1"/>
    <col min="6" max="6" width="19.140625" customWidth="1"/>
    <col min="8" max="8" width="17" customWidth="1"/>
    <col min="9" max="9" width="15.7109375" customWidth="1"/>
    <col min="10" max="10" width="13.5703125" customWidth="1"/>
  </cols>
  <sheetData>
    <row r="1" spans="1:11" x14ac:dyDescent="0.25">
      <c r="A1" s="1" t="s">
        <v>0</v>
      </c>
      <c r="B1" s="21" t="s">
        <v>287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25">
      <c r="A2" s="4" t="s">
        <v>10</v>
      </c>
      <c r="B2" s="22" t="str">
        <f>_xlfn.CONCAT("./assets/images/about/",Tabla_4[[#This Row],[Name of file]],".jpg")</f>
        <v>./assets/images/about/aboutme1.jpg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400</v>
      </c>
      <c r="H2" s="5" t="s">
        <v>15</v>
      </c>
      <c r="I2" s="5" t="s">
        <v>16</v>
      </c>
      <c r="J2" s="19" t="s">
        <v>17</v>
      </c>
      <c r="K2" s="6" t="s">
        <v>18</v>
      </c>
    </row>
    <row r="3" spans="1:11" x14ac:dyDescent="0.25">
      <c r="A3" s="7" t="s">
        <v>10</v>
      </c>
      <c r="B3" s="22" t="str">
        <f>_xlfn.CONCAT("./assets/images/about/",Tabla_4[[#This Row],[Name of file]],".jpg")</f>
        <v>./assets/images/about/aboutme2.jpg</v>
      </c>
      <c r="C3" s="8" t="s">
        <v>19</v>
      </c>
      <c r="F3" s="8" t="s">
        <v>20</v>
      </c>
      <c r="G3" s="8">
        <v>200</v>
      </c>
      <c r="H3" s="8" t="s">
        <v>21</v>
      </c>
      <c r="I3" s="8" t="s">
        <v>22</v>
      </c>
      <c r="J3" s="8" t="s">
        <v>17</v>
      </c>
      <c r="K3" s="9" t="s">
        <v>18</v>
      </c>
    </row>
    <row r="4" spans="1:11" x14ac:dyDescent="0.25">
      <c r="A4" s="4" t="s">
        <v>10</v>
      </c>
      <c r="B4" s="22" t="str">
        <f>_xlfn.CONCAT("./assets/images/about/",Tabla_4[[#This Row],[Name of file]],".jpg")</f>
        <v>./assets/images/about/aboutme3.jpg</v>
      </c>
      <c r="C4" s="5" t="s">
        <v>23</v>
      </c>
      <c r="F4" s="5" t="s">
        <v>24</v>
      </c>
      <c r="G4" s="5">
        <v>100</v>
      </c>
      <c r="H4" s="5" t="s">
        <v>25</v>
      </c>
      <c r="I4" s="5" t="s">
        <v>26</v>
      </c>
      <c r="J4" s="5" t="s">
        <v>17</v>
      </c>
      <c r="K4" s="6" t="s">
        <v>18</v>
      </c>
    </row>
    <row r="5" spans="1:11" x14ac:dyDescent="0.25">
      <c r="A5" s="7" t="s">
        <v>10</v>
      </c>
      <c r="B5" s="22" t="str">
        <f>_xlfn.CONCAT("./assets/images/about/",Tabla_4[[#This Row],[Name of file]],".jpg")</f>
        <v>./assets/images/about/aboutme4.jpg</v>
      </c>
      <c r="C5" s="8" t="s">
        <v>27</v>
      </c>
      <c r="F5" s="8" t="s">
        <v>28</v>
      </c>
      <c r="G5" s="8">
        <v>800</v>
      </c>
      <c r="H5" s="8" t="s">
        <v>29</v>
      </c>
      <c r="I5" s="8" t="s">
        <v>30</v>
      </c>
      <c r="J5" s="8" t="s">
        <v>17</v>
      </c>
      <c r="K5" s="9" t="s">
        <v>18</v>
      </c>
    </row>
    <row r="6" spans="1:11" x14ac:dyDescent="0.25">
      <c r="A6" s="4" t="s">
        <v>31</v>
      </c>
      <c r="B6" s="22" t="str">
        <f>_xlfn.CONCAT("./assets/images/portraits/",Tabla_4[[#This Row],[Name of file]],".jpg")</f>
        <v>./assets/images/portraits/port1.jpg</v>
      </c>
      <c r="C6" s="5" t="s">
        <v>32</v>
      </c>
      <c r="D6" s="5" t="s">
        <v>33</v>
      </c>
      <c r="E6" s="5" t="s">
        <v>34</v>
      </c>
      <c r="F6" s="5" t="s">
        <v>35</v>
      </c>
      <c r="G6" s="5">
        <v>200</v>
      </c>
      <c r="H6" s="5" t="s">
        <v>25</v>
      </c>
      <c r="I6" s="5" t="s">
        <v>30</v>
      </c>
      <c r="J6" s="5" t="s">
        <v>17</v>
      </c>
      <c r="K6" s="6" t="s">
        <v>18</v>
      </c>
    </row>
    <row r="7" spans="1:11" x14ac:dyDescent="0.25">
      <c r="A7" s="7" t="s">
        <v>31</v>
      </c>
      <c r="B7" s="22" t="str">
        <f>_xlfn.CONCAT("./assets/images/portraits/",Tabla_4[[#This Row],[Name of file]],".jpg")</f>
        <v>./assets/images/portraits/port2.jpg</v>
      </c>
      <c r="C7" s="8" t="s">
        <v>36</v>
      </c>
      <c r="F7" s="8" t="s">
        <v>37</v>
      </c>
      <c r="G7" s="8">
        <v>100</v>
      </c>
      <c r="H7" s="8" t="s">
        <v>38</v>
      </c>
      <c r="I7" s="8" t="s">
        <v>39</v>
      </c>
      <c r="J7" s="8" t="s">
        <v>17</v>
      </c>
      <c r="K7" s="9" t="s">
        <v>18</v>
      </c>
    </row>
    <row r="8" spans="1:11" x14ac:dyDescent="0.25">
      <c r="A8" s="4" t="s">
        <v>31</v>
      </c>
      <c r="B8" s="22" t="str">
        <f>_xlfn.CONCAT("./assets/images/portraits/",Tabla_4[[#This Row],[Name of file]],".jpg")</f>
        <v>./assets/images/portraits/port3.jpg</v>
      </c>
      <c r="C8" s="5" t="s">
        <v>40</v>
      </c>
      <c r="F8" s="5" t="s">
        <v>41</v>
      </c>
      <c r="G8" s="5">
        <v>400</v>
      </c>
      <c r="H8" s="5" t="s">
        <v>15</v>
      </c>
      <c r="I8" s="5" t="s">
        <v>22</v>
      </c>
      <c r="J8" s="5" t="s">
        <v>17</v>
      </c>
      <c r="K8" s="6" t="s">
        <v>18</v>
      </c>
    </row>
    <row r="9" spans="1:11" x14ac:dyDescent="0.25">
      <c r="A9" s="7" t="s">
        <v>31</v>
      </c>
      <c r="B9" s="22" t="str">
        <f>_xlfn.CONCAT("./assets/images/portraits/",Tabla_4[[#This Row],[Name of file]],".jpg")</f>
        <v>./assets/images/portraits/port4.jpg</v>
      </c>
      <c r="C9" s="8" t="s">
        <v>42</v>
      </c>
      <c r="F9" s="8" t="s">
        <v>43</v>
      </c>
      <c r="G9" s="8">
        <v>800</v>
      </c>
      <c r="H9" s="8" t="s">
        <v>21</v>
      </c>
      <c r="I9" s="8" t="s">
        <v>44</v>
      </c>
      <c r="J9" s="8" t="s">
        <v>17</v>
      </c>
      <c r="K9" s="9" t="s">
        <v>18</v>
      </c>
    </row>
    <row r="10" spans="1:11" x14ac:dyDescent="0.25">
      <c r="A10" s="4" t="s">
        <v>31</v>
      </c>
      <c r="B10" s="22" t="str">
        <f>_xlfn.CONCAT("./assets/images/portraits/",Tabla_4[[#This Row],[Name of file]],".jpg")</f>
        <v>./assets/images/portraits/port5.jpg</v>
      </c>
      <c r="C10" s="5" t="s">
        <v>45</v>
      </c>
      <c r="F10" s="5" t="s">
        <v>46</v>
      </c>
      <c r="G10" s="5">
        <v>160</v>
      </c>
      <c r="H10" s="5" t="s">
        <v>47</v>
      </c>
      <c r="I10" s="5" t="s">
        <v>16</v>
      </c>
      <c r="J10" s="5" t="s">
        <v>17</v>
      </c>
      <c r="K10" s="6" t="s">
        <v>18</v>
      </c>
    </row>
    <row r="11" spans="1:11" x14ac:dyDescent="0.25">
      <c r="A11" s="7" t="s">
        <v>31</v>
      </c>
      <c r="B11" s="22" t="str">
        <f>_xlfn.CONCAT("./assets/images/portraits/",Tabla_4[[#This Row],[Name of file]],".jpg")</f>
        <v>./assets/images/portraits/port6.jpg</v>
      </c>
      <c r="C11" s="8" t="s">
        <v>48</v>
      </c>
      <c r="F11" s="8" t="s">
        <v>49</v>
      </c>
      <c r="G11" s="8">
        <v>320</v>
      </c>
      <c r="H11" s="8" t="s">
        <v>50</v>
      </c>
      <c r="I11" s="8" t="s">
        <v>51</v>
      </c>
      <c r="J11" s="8" t="s">
        <v>17</v>
      </c>
      <c r="K11" s="9" t="s">
        <v>18</v>
      </c>
    </row>
    <row r="12" spans="1:11" x14ac:dyDescent="0.25">
      <c r="A12" s="4" t="s">
        <v>31</v>
      </c>
      <c r="B12" s="22" t="str">
        <f>_xlfn.CONCAT("./assets/images/portraits/",Tabla_4[[#This Row],[Name of file]],".jpg")</f>
        <v>./assets/images/portraits/port7.jpg</v>
      </c>
      <c r="C12" s="5" t="s">
        <v>52</v>
      </c>
      <c r="F12" s="5" t="s">
        <v>53</v>
      </c>
      <c r="G12" s="5">
        <v>100</v>
      </c>
      <c r="H12" s="5" t="s">
        <v>54</v>
      </c>
      <c r="I12" s="5" t="s">
        <v>55</v>
      </c>
      <c r="J12" s="5" t="s">
        <v>17</v>
      </c>
      <c r="K12" s="6" t="s">
        <v>18</v>
      </c>
    </row>
    <row r="13" spans="1:11" x14ac:dyDescent="0.25">
      <c r="A13" s="7" t="s">
        <v>31</v>
      </c>
      <c r="B13" s="22" t="str">
        <f>_xlfn.CONCAT("./assets/images/portraits/",Tabla_4[[#This Row],[Name of file]],".jpg")</f>
        <v>./assets/images/portraits/port8.jpg</v>
      </c>
      <c r="C13" s="8" t="s">
        <v>56</v>
      </c>
      <c r="F13" s="8" t="s">
        <v>57</v>
      </c>
      <c r="G13" s="8">
        <v>640</v>
      </c>
      <c r="H13" s="8" t="s">
        <v>58</v>
      </c>
      <c r="I13" s="8" t="s">
        <v>30</v>
      </c>
      <c r="J13" s="8" t="s">
        <v>17</v>
      </c>
      <c r="K13" s="9" t="s">
        <v>18</v>
      </c>
    </row>
    <row r="14" spans="1:11" x14ac:dyDescent="0.25">
      <c r="A14" s="4" t="s">
        <v>31</v>
      </c>
      <c r="B14" s="22" t="str">
        <f>_xlfn.CONCAT("./assets/images/portraits/",Tabla_4[[#This Row],[Name of file]],".jpg")</f>
        <v>./assets/images/portraits/port9.jpg</v>
      </c>
      <c r="C14" s="5" t="s">
        <v>59</v>
      </c>
      <c r="F14" s="5" t="s">
        <v>60</v>
      </c>
      <c r="G14" s="5">
        <v>200</v>
      </c>
      <c r="H14" s="5" t="s">
        <v>61</v>
      </c>
      <c r="I14" s="5" t="s">
        <v>39</v>
      </c>
      <c r="J14" s="5" t="s">
        <v>17</v>
      </c>
      <c r="K14" s="6" t="s">
        <v>18</v>
      </c>
    </row>
    <row r="15" spans="1:11" x14ac:dyDescent="0.25">
      <c r="A15" s="7" t="s">
        <v>31</v>
      </c>
      <c r="B15" s="22" t="str">
        <f>_xlfn.CONCAT("./assets/images/portraits/",Tabla_4[[#This Row],[Name of file]],".jpg")</f>
        <v>./assets/images/portraits/port10.jpg</v>
      </c>
      <c r="C15" s="8" t="s">
        <v>62</v>
      </c>
      <c r="F15" s="8" t="s">
        <v>63</v>
      </c>
      <c r="G15" s="8">
        <v>400</v>
      </c>
      <c r="H15" s="8" t="s">
        <v>15</v>
      </c>
      <c r="I15" s="8" t="s">
        <v>22</v>
      </c>
      <c r="J15" s="8" t="s">
        <v>17</v>
      </c>
      <c r="K15" s="9" t="s">
        <v>18</v>
      </c>
    </row>
    <row r="16" spans="1:11" x14ac:dyDescent="0.25">
      <c r="A16" s="4" t="s">
        <v>31</v>
      </c>
      <c r="B16" s="22" t="str">
        <f>_xlfn.CONCAT("./assets/images/portraits/",Tabla_4[[#This Row],[Name of file]],".jpg")</f>
        <v>./assets/images/portraits/port11.jpg</v>
      </c>
      <c r="C16" s="5" t="s">
        <v>64</v>
      </c>
      <c r="F16" s="5" t="s">
        <v>65</v>
      </c>
      <c r="G16" s="5">
        <v>1000</v>
      </c>
      <c r="H16" s="5" t="s">
        <v>66</v>
      </c>
      <c r="I16" s="5" t="s">
        <v>67</v>
      </c>
      <c r="J16" s="5" t="s">
        <v>17</v>
      </c>
      <c r="K16" s="6" t="s">
        <v>18</v>
      </c>
    </row>
    <row r="17" spans="1:11" x14ac:dyDescent="0.25">
      <c r="A17" s="7" t="s">
        <v>31</v>
      </c>
      <c r="B17" s="22" t="str">
        <f>_xlfn.CONCAT("./assets/images/portraits/",Tabla_4[[#This Row],[Name of file]],".jpg")</f>
        <v>./assets/images/portraits/port12.jpg</v>
      </c>
      <c r="C17" s="8" t="s">
        <v>68</v>
      </c>
      <c r="F17" s="8" t="s">
        <v>69</v>
      </c>
      <c r="G17" s="8">
        <v>200</v>
      </c>
      <c r="H17" s="8" t="s">
        <v>70</v>
      </c>
      <c r="I17" s="8" t="s">
        <v>55</v>
      </c>
      <c r="J17" s="8" t="s">
        <v>17</v>
      </c>
      <c r="K17" s="9" t="s">
        <v>18</v>
      </c>
    </row>
    <row r="18" spans="1:11" x14ac:dyDescent="0.25">
      <c r="A18" s="4" t="s">
        <v>31</v>
      </c>
      <c r="B18" s="22" t="str">
        <f>_xlfn.CONCAT("./assets/images/portraits/",Tabla_4[[#This Row],[Name of file]],".jpg")</f>
        <v>./assets/images/portraits/port13.jpg</v>
      </c>
      <c r="C18" s="5" t="s">
        <v>71</v>
      </c>
      <c r="F18" s="5" t="s">
        <v>72</v>
      </c>
      <c r="G18" s="5">
        <v>400</v>
      </c>
      <c r="H18" s="5" t="s">
        <v>47</v>
      </c>
      <c r="I18" s="5" t="s">
        <v>39</v>
      </c>
      <c r="J18" s="5" t="s">
        <v>17</v>
      </c>
      <c r="K18" s="6" t="s">
        <v>18</v>
      </c>
    </row>
    <row r="19" spans="1:11" x14ac:dyDescent="0.25">
      <c r="A19" s="7" t="s">
        <v>31</v>
      </c>
      <c r="B19" s="22" t="str">
        <f>_xlfn.CONCAT("./assets/images/portraits/",Tabla_4[[#This Row],[Name of file]],".jpg")</f>
        <v>./assets/images/portraits/port14.jpg</v>
      </c>
      <c r="C19" s="8" t="s">
        <v>73</v>
      </c>
      <c r="F19" s="8" t="s">
        <v>74</v>
      </c>
      <c r="G19" s="8">
        <v>800</v>
      </c>
      <c r="H19" s="8" t="s">
        <v>50</v>
      </c>
      <c r="I19" s="8" t="s">
        <v>30</v>
      </c>
      <c r="J19" s="8" t="s">
        <v>17</v>
      </c>
      <c r="K19" s="9" t="s">
        <v>18</v>
      </c>
    </row>
    <row r="20" spans="1:11" x14ac:dyDescent="0.25">
      <c r="A20" s="4" t="s">
        <v>31</v>
      </c>
      <c r="B20" s="22" t="str">
        <f>_xlfn.CONCAT("./assets/images/portraits/",Tabla_4[[#This Row],[Name of file]],".jpg")</f>
        <v>./assets/images/portraits/port15.jpg</v>
      </c>
      <c r="C20" s="5" t="s">
        <v>75</v>
      </c>
      <c r="F20" s="5" t="s">
        <v>76</v>
      </c>
      <c r="G20" s="5">
        <v>320</v>
      </c>
      <c r="H20" s="5" t="s">
        <v>25</v>
      </c>
      <c r="I20" s="5" t="s">
        <v>22</v>
      </c>
      <c r="J20" s="5" t="s">
        <v>17</v>
      </c>
      <c r="K20" s="6" t="s">
        <v>18</v>
      </c>
    </row>
    <row r="21" spans="1:11" x14ac:dyDescent="0.25">
      <c r="A21" s="7" t="s">
        <v>31</v>
      </c>
      <c r="B21" s="22" t="str">
        <f>_xlfn.CONCAT("./assets/images/portraits/",Tabla_4[[#This Row],[Name of file]],".jpg")</f>
        <v>./assets/images/portraits/port16.jpg</v>
      </c>
      <c r="C21" s="8" t="s">
        <v>77</v>
      </c>
      <c r="F21" s="8" t="s">
        <v>78</v>
      </c>
      <c r="G21" s="8">
        <v>400</v>
      </c>
      <c r="H21" s="8" t="s">
        <v>47</v>
      </c>
      <c r="I21" s="8" t="s">
        <v>39</v>
      </c>
      <c r="J21" s="8" t="s">
        <v>17</v>
      </c>
      <c r="K21" s="9" t="s">
        <v>18</v>
      </c>
    </row>
    <row r="22" spans="1:11" x14ac:dyDescent="0.25">
      <c r="A22" s="4" t="s">
        <v>31</v>
      </c>
      <c r="B22" s="22" t="str">
        <f>_xlfn.CONCAT("./assets/images/portraits/",Tabla_4[[#This Row],[Name of file]],".jpg")</f>
        <v>./assets/images/portraits/port17.jpg</v>
      </c>
      <c r="C22" s="5" t="s">
        <v>79</v>
      </c>
      <c r="F22" s="5" t="s">
        <v>80</v>
      </c>
      <c r="G22" s="5">
        <v>200</v>
      </c>
      <c r="H22" s="5" t="s">
        <v>70</v>
      </c>
      <c r="I22" s="5" t="s">
        <v>22</v>
      </c>
      <c r="J22" s="5" t="s">
        <v>17</v>
      </c>
      <c r="K22" s="6" t="s">
        <v>18</v>
      </c>
    </row>
    <row r="23" spans="1:11" x14ac:dyDescent="0.25">
      <c r="A23" s="7" t="s">
        <v>31</v>
      </c>
      <c r="B23" s="22" t="str">
        <f>_xlfn.CONCAT("./assets/images/portraits/",Tabla_4[[#This Row],[Name of file]],".jpg")</f>
        <v>./assets/images/portraits/port18.jpg</v>
      </c>
      <c r="C23" s="8" t="s">
        <v>81</v>
      </c>
      <c r="F23" s="8" t="s">
        <v>82</v>
      </c>
      <c r="G23" s="8">
        <v>100</v>
      </c>
      <c r="H23" s="8" t="s">
        <v>38</v>
      </c>
      <c r="I23" s="8" t="s">
        <v>51</v>
      </c>
      <c r="J23" s="8" t="s">
        <v>17</v>
      </c>
      <c r="K23" s="9" t="s">
        <v>18</v>
      </c>
    </row>
    <row r="24" spans="1:11" x14ac:dyDescent="0.25">
      <c r="A24" s="4" t="s">
        <v>31</v>
      </c>
      <c r="B24" s="22" t="str">
        <f>_xlfn.CONCAT("./assets/images/portraits/",Tabla_4[[#This Row],[Name of file]],".jpg")</f>
        <v>./assets/images/portraits/port19.jpg</v>
      </c>
      <c r="C24" s="5" t="s">
        <v>83</v>
      </c>
      <c r="F24" s="5" t="s">
        <v>84</v>
      </c>
      <c r="G24" s="5">
        <v>800</v>
      </c>
      <c r="H24" s="5" t="s">
        <v>21</v>
      </c>
      <c r="I24" s="5" t="s">
        <v>30</v>
      </c>
      <c r="J24" s="5" t="s">
        <v>17</v>
      </c>
      <c r="K24" s="6" t="s">
        <v>18</v>
      </c>
    </row>
    <row r="25" spans="1:11" x14ac:dyDescent="0.25">
      <c r="A25" s="7" t="s">
        <v>31</v>
      </c>
      <c r="B25" s="22" t="str">
        <f>_xlfn.CONCAT("./assets/images/portraits/",Tabla_4[[#This Row],[Name of file]],".jpg")</f>
        <v>./assets/images/portraits/port20.jpg</v>
      </c>
      <c r="C25" s="8" t="s">
        <v>85</v>
      </c>
      <c r="F25" s="8" t="s">
        <v>86</v>
      </c>
      <c r="G25" s="8">
        <v>160</v>
      </c>
      <c r="H25" s="8" t="s">
        <v>25</v>
      </c>
      <c r="I25" s="8" t="s">
        <v>55</v>
      </c>
      <c r="J25" s="8" t="s">
        <v>17</v>
      </c>
      <c r="K25" s="9" t="s">
        <v>18</v>
      </c>
    </row>
    <row r="26" spans="1:11" x14ac:dyDescent="0.25">
      <c r="A26" s="4" t="s">
        <v>31</v>
      </c>
      <c r="B26" s="22" t="str">
        <f>_xlfn.CONCAT("./assets/images/portraits/",Tabla_4[[#This Row],[Name of file]],".jpg")</f>
        <v>./assets/images/portraits/port21.jpg</v>
      </c>
      <c r="C26" s="5" t="s">
        <v>87</v>
      </c>
      <c r="F26" s="5" t="s">
        <v>88</v>
      </c>
      <c r="G26" s="5">
        <v>320</v>
      </c>
      <c r="H26" s="5" t="s">
        <v>15</v>
      </c>
      <c r="I26" s="5" t="s">
        <v>39</v>
      </c>
      <c r="J26" s="5" t="s">
        <v>17</v>
      </c>
      <c r="K26" s="6" t="s">
        <v>18</v>
      </c>
    </row>
    <row r="27" spans="1:11" x14ac:dyDescent="0.25">
      <c r="A27" s="7" t="s">
        <v>31</v>
      </c>
      <c r="B27" s="22" t="str">
        <f>_xlfn.CONCAT("./assets/images/portraits/",Tabla_4[[#This Row],[Name of file]],".jpg")</f>
        <v>./assets/images/portraits/port22.jpg</v>
      </c>
      <c r="C27" s="8" t="s">
        <v>89</v>
      </c>
      <c r="F27" s="8" t="s">
        <v>90</v>
      </c>
      <c r="G27" s="8">
        <v>640</v>
      </c>
      <c r="H27" s="8" t="s">
        <v>50</v>
      </c>
      <c r="I27" s="8" t="s">
        <v>30</v>
      </c>
      <c r="J27" s="8" t="s">
        <v>17</v>
      </c>
      <c r="K27" s="9" t="s">
        <v>18</v>
      </c>
    </row>
    <row r="28" spans="1:11" x14ac:dyDescent="0.25">
      <c r="A28" s="4" t="s">
        <v>31</v>
      </c>
      <c r="B28" s="22" t="str">
        <f>_xlfn.CONCAT("./assets/images/portraits/",Tabla_4[[#This Row],[Name of file]],".jpg")</f>
        <v>./assets/images/portraits/port23.jpg</v>
      </c>
      <c r="C28" s="5" t="s">
        <v>91</v>
      </c>
      <c r="F28" s="5" t="s">
        <v>92</v>
      </c>
      <c r="G28" s="5">
        <v>100</v>
      </c>
      <c r="H28" s="5" t="s">
        <v>54</v>
      </c>
      <c r="I28" s="5" t="s">
        <v>22</v>
      </c>
      <c r="J28" s="5" t="s">
        <v>17</v>
      </c>
      <c r="K28" s="6" t="s">
        <v>18</v>
      </c>
    </row>
    <row r="29" spans="1:11" x14ac:dyDescent="0.25">
      <c r="A29" s="7" t="s">
        <v>31</v>
      </c>
      <c r="B29" s="22" t="str">
        <f>_xlfn.CONCAT("./assets/images/portraits/",Tabla_4[[#This Row],[Name of file]],".jpg")</f>
        <v>./assets/images/portraits/port24.jpg</v>
      </c>
      <c r="C29" s="8" t="s">
        <v>93</v>
      </c>
      <c r="F29" s="8" t="s">
        <v>94</v>
      </c>
      <c r="G29" s="8">
        <v>1000</v>
      </c>
      <c r="H29" s="8" t="s">
        <v>58</v>
      </c>
      <c r="I29" s="8" t="s">
        <v>44</v>
      </c>
      <c r="J29" s="8" t="s">
        <v>17</v>
      </c>
      <c r="K29" s="9" t="s">
        <v>18</v>
      </c>
    </row>
    <row r="30" spans="1:11" x14ac:dyDescent="0.25">
      <c r="A30" s="4" t="s">
        <v>31</v>
      </c>
      <c r="B30" s="22" t="str">
        <f>_xlfn.CONCAT("./assets/images/portraits/",Tabla_4[[#This Row],[Name of file]],".jpg")</f>
        <v>./assets/images/portraits/port25.jpg</v>
      </c>
      <c r="C30" s="5" t="s">
        <v>95</v>
      </c>
      <c r="F30" s="5" t="s">
        <v>96</v>
      </c>
      <c r="G30" s="5">
        <v>200</v>
      </c>
      <c r="H30" s="5" t="s">
        <v>70</v>
      </c>
      <c r="I30" s="5" t="s">
        <v>39</v>
      </c>
      <c r="J30" s="5" t="s">
        <v>17</v>
      </c>
      <c r="K30" s="6" t="s">
        <v>18</v>
      </c>
    </row>
    <row r="31" spans="1:11" x14ac:dyDescent="0.25">
      <c r="A31" s="7" t="s">
        <v>31</v>
      </c>
      <c r="B31" s="22" t="str">
        <f>_xlfn.CONCAT("./assets/images/portraits/",Tabla_4[[#This Row],[Name of file]],".jpg")</f>
        <v>./assets/images/portraits/port26.jpg</v>
      </c>
      <c r="C31" s="8" t="s">
        <v>97</v>
      </c>
      <c r="F31" s="8" t="s">
        <v>98</v>
      </c>
      <c r="G31" s="8">
        <v>400</v>
      </c>
      <c r="H31" s="8" t="s">
        <v>61</v>
      </c>
      <c r="I31" s="8" t="s">
        <v>51</v>
      </c>
      <c r="J31" s="8" t="s">
        <v>17</v>
      </c>
      <c r="K31" s="9" t="s">
        <v>18</v>
      </c>
    </row>
    <row r="32" spans="1:11" x14ac:dyDescent="0.25">
      <c r="A32" s="4" t="s">
        <v>31</v>
      </c>
      <c r="B32" s="22" t="str">
        <f>_xlfn.CONCAT("./assets/images/portraits/",Tabla_4[[#This Row],[Name of file]],".jpg")</f>
        <v>./assets/images/portraits/port27.jpg</v>
      </c>
      <c r="C32" s="5" t="s">
        <v>99</v>
      </c>
      <c r="F32" s="5" t="s">
        <v>100</v>
      </c>
      <c r="G32" s="5">
        <v>800</v>
      </c>
      <c r="H32" s="5" t="s">
        <v>15</v>
      </c>
      <c r="I32" s="5" t="s">
        <v>30</v>
      </c>
      <c r="J32" s="5" t="s">
        <v>17</v>
      </c>
      <c r="K32" s="6" t="s">
        <v>18</v>
      </c>
    </row>
    <row r="33" spans="1:11" x14ac:dyDescent="0.25">
      <c r="A33" s="7" t="s">
        <v>31</v>
      </c>
      <c r="B33" s="22" t="str">
        <f>_xlfn.CONCAT("./assets/images/portraits/",Tabla_4[[#This Row],[Name of file]],".jpg")</f>
        <v>./assets/images/portraits/port28.jpg</v>
      </c>
      <c r="C33" s="8" t="s">
        <v>101</v>
      </c>
      <c r="F33" s="8" t="s">
        <v>102</v>
      </c>
      <c r="G33" s="8">
        <v>100</v>
      </c>
      <c r="H33" s="8" t="s">
        <v>38</v>
      </c>
      <c r="I33" s="8" t="s">
        <v>22</v>
      </c>
      <c r="J33" s="8" t="s">
        <v>17</v>
      </c>
      <c r="K33" s="9" t="s">
        <v>18</v>
      </c>
    </row>
    <row r="34" spans="1:11" x14ac:dyDescent="0.25">
      <c r="A34" s="4" t="s">
        <v>31</v>
      </c>
      <c r="B34" s="22" t="str">
        <f>_xlfn.CONCAT("./assets/images/portraits/",Tabla_4[[#This Row],[Name of file]],".jpg")</f>
        <v>./assets/images/portraits/port29.jpg</v>
      </c>
      <c r="C34" s="5" t="s">
        <v>103</v>
      </c>
      <c r="F34" s="5" t="s">
        <v>104</v>
      </c>
      <c r="G34" s="5">
        <v>320</v>
      </c>
      <c r="H34" s="5" t="s">
        <v>47</v>
      </c>
      <c r="I34" s="5" t="s">
        <v>39</v>
      </c>
      <c r="J34" s="5" t="s">
        <v>17</v>
      </c>
      <c r="K34" s="6" t="s">
        <v>18</v>
      </c>
    </row>
    <row r="35" spans="1:11" x14ac:dyDescent="0.25">
      <c r="A35" s="7" t="s">
        <v>31</v>
      </c>
      <c r="B35" s="22" t="str">
        <f>_xlfn.CONCAT("./assets/images/portraits/",Tabla_4[[#This Row],[Name of file]],".jpg")</f>
        <v>./assets/images/portraits/port30.jpg</v>
      </c>
      <c r="C35" s="8" t="s">
        <v>105</v>
      </c>
      <c r="F35" s="8" t="s">
        <v>106</v>
      </c>
      <c r="G35" s="8">
        <v>640</v>
      </c>
      <c r="H35" s="8" t="s">
        <v>50</v>
      </c>
      <c r="I35" s="8" t="s">
        <v>30</v>
      </c>
      <c r="J35" s="8" t="s">
        <v>17</v>
      </c>
      <c r="K35" s="9" t="s">
        <v>18</v>
      </c>
    </row>
    <row r="36" spans="1:11" x14ac:dyDescent="0.25">
      <c r="A36" s="7" t="s">
        <v>107</v>
      </c>
      <c r="B36" s="22" t="str">
        <f>_xlfn.CONCAT("./assets/images/product/",Tabla_4[[#This Row],[Name of file]],".jpg")</f>
        <v>./assets/images/product/product1.jpg</v>
      </c>
      <c r="C36" s="8" t="s">
        <v>108</v>
      </c>
      <c r="D36" s="8" t="s">
        <v>109</v>
      </c>
      <c r="E36" s="8" t="s">
        <v>110</v>
      </c>
      <c r="F36" s="8" t="s">
        <v>111</v>
      </c>
      <c r="G36" s="8">
        <v>200</v>
      </c>
      <c r="H36" s="8" t="s">
        <v>58</v>
      </c>
      <c r="I36" s="8" t="s">
        <v>55</v>
      </c>
      <c r="J36" s="8" t="s">
        <v>17</v>
      </c>
      <c r="K36" s="9" t="s">
        <v>18</v>
      </c>
    </row>
    <row r="37" spans="1:11" x14ac:dyDescent="0.25">
      <c r="A37" s="4" t="s">
        <v>107</v>
      </c>
      <c r="B37" s="22" t="str">
        <f>_xlfn.CONCAT("./assets/images/product/",Tabla_4[[#This Row],[Name of file]],".jpg")</f>
        <v>./assets/images/product/product2.jpg</v>
      </c>
      <c r="C37" s="5" t="s">
        <v>112</v>
      </c>
      <c r="F37" s="5" t="s">
        <v>113</v>
      </c>
      <c r="G37" s="5">
        <v>400</v>
      </c>
      <c r="H37" s="5" t="s">
        <v>21</v>
      </c>
      <c r="I37" s="5" t="s">
        <v>16</v>
      </c>
      <c r="J37" s="5" t="s">
        <v>17</v>
      </c>
      <c r="K37" s="6" t="s">
        <v>18</v>
      </c>
    </row>
    <row r="38" spans="1:11" x14ac:dyDescent="0.25">
      <c r="A38" s="7" t="s">
        <v>107</v>
      </c>
      <c r="B38" s="22" t="str">
        <f>_xlfn.CONCAT("./assets/images/product/",Tabla_4[[#This Row],[Name of file]],".jpg")</f>
        <v>./assets/images/product/product3.jpg</v>
      </c>
      <c r="C38" s="8" t="s">
        <v>114</v>
      </c>
      <c r="F38" s="8" t="s">
        <v>115</v>
      </c>
      <c r="G38" s="8">
        <v>100</v>
      </c>
      <c r="H38" s="8" t="s">
        <v>15</v>
      </c>
      <c r="I38" s="8" t="s">
        <v>39</v>
      </c>
      <c r="J38" s="8" t="s">
        <v>17</v>
      </c>
      <c r="K38" s="9" t="s">
        <v>18</v>
      </c>
    </row>
    <row r="39" spans="1:11" x14ac:dyDescent="0.25">
      <c r="A39" s="4" t="s">
        <v>107</v>
      </c>
      <c r="B39" s="22" t="str">
        <f>_xlfn.CONCAT("./assets/images/product/",Tabla_4[[#This Row],[Name of file]],".jpg")</f>
        <v>./assets/images/product/product4.jpg</v>
      </c>
      <c r="C39" s="5" t="s">
        <v>116</v>
      </c>
      <c r="F39" s="5" t="s">
        <v>117</v>
      </c>
      <c r="G39" s="5">
        <v>800</v>
      </c>
      <c r="H39" s="5" t="s">
        <v>66</v>
      </c>
      <c r="I39" s="5" t="s">
        <v>30</v>
      </c>
      <c r="J39" s="5" t="s">
        <v>17</v>
      </c>
      <c r="K39" s="6" t="s">
        <v>18</v>
      </c>
    </row>
    <row r="40" spans="1:11" x14ac:dyDescent="0.25">
      <c r="A40" s="7" t="s">
        <v>107</v>
      </c>
      <c r="B40" s="22" t="str">
        <f>_xlfn.CONCAT("./assets/images/product/",Tabla_4[[#This Row],[Name of file]],".jpg")</f>
        <v>./assets/images/product/product5.jpg</v>
      </c>
      <c r="C40" s="8" t="s">
        <v>118</v>
      </c>
      <c r="F40" s="8" t="s">
        <v>119</v>
      </c>
      <c r="G40" s="8">
        <v>320</v>
      </c>
      <c r="H40" s="8" t="s">
        <v>50</v>
      </c>
      <c r="I40" s="8" t="s">
        <v>22</v>
      </c>
      <c r="J40" s="8" t="s">
        <v>17</v>
      </c>
      <c r="K40" s="9" t="s">
        <v>18</v>
      </c>
    </row>
    <row r="41" spans="1:11" x14ac:dyDescent="0.25">
      <c r="A41" s="4" t="s">
        <v>107</v>
      </c>
      <c r="B41" s="22" t="str">
        <f>_xlfn.CONCAT("./assets/images/product/",Tabla_4[[#This Row],[Name of file]],".jpg")</f>
        <v>./assets/images/product/product6.jpg</v>
      </c>
      <c r="C41" s="5" t="s">
        <v>120</v>
      </c>
      <c r="F41" s="5" t="s">
        <v>121</v>
      </c>
      <c r="G41" s="5">
        <v>200</v>
      </c>
      <c r="H41" s="5" t="s">
        <v>15</v>
      </c>
      <c r="I41" s="5" t="s">
        <v>22</v>
      </c>
      <c r="J41" s="5" t="s">
        <v>17</v>
      </c>
      <c r="K41" s="6" t="s">
        <v>18</v>
      </c>
    </row>
    <row r="42" spans="1:11" x14ac:dyDescent="0.25">
      <c r="A42" s="7" t="s">
        <v>107</v>
      </c>
      <c r="B42" s="22" t="str">
        <f>_xlfn.CONCAT("./assets/images/product/",Tabla_4[[#This Row],[Name of file]],".jpg")</f>
        <v>./assets/images/product/product7.jpg</v>
      </c>
      <c r="C42" s="8" t="s">
        <v>122</v>
      </c>
      <c r="F42" s="8" t="s">
        <v>123</v>
      </c>
      <c r="G42" s="8">
        <v>400</v>
      </c>
      <c r="H42" s="8" t="s">
        <v>58</v>
      </c>
      <c r="I42" s="8" t="s">
        <v>39</v>
      </c>
      <c r="J42" s="8" t="s">
        <v>17</v>
      </c>
      <c r="K42" s="9" t="s">
        <v>18</v>
      </c>
    </row>
    <row r="43" spans="1:11" x14ac:dyDescent="0.25">
      <c r="A43" s="4" t="s">
        <v>107</v>
      </c>
      <c r="B43" s="22" t="str">
        <f>_xlfn.CONCAT("./assets/images/product/",Tabla_4[[#This Row],[Name of file]],".jpg")</f>
        <v>./assets/images/product/product8.jpg</v>
      </c>
      <c r="C43" s="5" t="s">
        <v>124</v>
      </c>
      <c r="F43" s="5" t="s">
        <v>125</v>
      </c>
      <c r="G43" s="5">
        <v>100</v>
      </c>
      <c r="H43" s="5" t="s">
        <v>61</v>
      </c>
      <c r="I43" s="5" t="s">
        <v>30</v>
      </c>
      <c r="J43" s="5" t="s">
        <v>17</v>
      </c>
      <c r="K43" s="6" t="s">
        <v>18</v>
      </c>
    </row>
    <row r="44" spans="1:11" x14ac:dyDescent="0.25">
      <c r="A44" s="7" t="s">
        <v>107</v>
      </c>
      <c r="B44" s="22" t="str">
        <f>_xlfn.CONCAT("./assets/images/product/",Tabla_4[[#This Row],[Name of file]],".jpg")</f>
        <v>./assets/images/product/product9.jpg</v>
      </c>
      <c r="C44" s="8" t="s">
        <v>126</v>
      </c>
      <c r="F44" s="8" t="s">
        <v>127</v>
      </c>
      <c r="G44" s="8">
        <v>800</v>
      </c>
      <c r="H44" s="8" t="s">
        <v>21</v>
      </c>
      <c r="I44" s="8" t="s">
        <v>55</v>
      </c>
      <c r="J44" s="8" t="s">
        <v>17</v>
      </c>
      <c r="K44" s="9" t="s">
        <v>18</v>
      </c>
    </row>
    <row r="45" spans="1:11" x14ac:dyDescent="0.25">
      <c r="A45" s="4" t="s">
        <v>107</v>
      </c>
      <c r="B45" s="22" t="str">
        <f>_xlfn.CONCAT("./assets/images/product/",Tabla_4[[#This Row],[Name of file]],".jpg")</f>
        <v>./assets/images/product/product10.jpg</v>
      </c>
      <c r="C45" s="5" t="s">
        <v>128</v>
      </c>
      <c r="F45" s="5" t="s">
        <v>129</v>
      </c>
      <c r="G45" s="5">
        <v>320</v>
      </c>
      <c r="H45" s="5" t="s">
        <v>50</v>
      </c>
      <c r="I45" s="5" t="s">
        <v>51</v>
      </c>
      <c r="J45" s="5" t="s">
        <v>17</v>
      </c>
      <c r="K45" s="6" t="s">
        <v>18</v>
      </c>
    </row>
    <row r="46" spans="1:11" x14ac:dyDescent="0.25">
      <c r="A46" s="7" t="s">
        <v>107</v>
      </c>
      <c r="B46" s="22" t="str">
        <f>_xlfn.CONCAT("./assets/images/product/",Tabla_4[[#This Row],[Name of file]],".jpg")</f>
        <v>./assets/images/product/product11.jpg</v>
      </c>
      <c r="C46" s="8" t="s">
        <v>130</v>
      </c>
      <c r="F46" s="8" t="s">
        <v>131</v>
      </c>
      <c r="G46" s="8">
        <v>200</v>
      </c>
      <c r="H46" s="8" t="s">
        <v>15</v>
      </c>
      <c r="I46" s="8" t="s">
        <v>22</v>
      </c>
      <c r="J46" s="8" t="s">
        <v>17</v>
      </c>
      <c r="K46" s="9" t="s">
        <v>18</v>
      </c>
    </row>
    <row r="47" spans="1:11" x14ac:dyDescent="0.25">
      <c r="A47" s="4" t="s">
        <v>107</v>
      </c>
      <c r="B47" s="22" t="str">
        <f>_xlfn.CONCAT("./assets/images/product/",Tabla_4[[#This Row],[Name of file]],".jpg")</f>
        <v>./assets/images/product/product12.jpg</v>
      </c>
      <c r="C47" s="5" t="s">
        <v>132</v>
      </c>
      <c r="F47" s="5" t="s">
        <v>133</v>
      </c>
      <c r="G47" s="5">
        <v>400</v>
      </c>
      <c r="H47" s="5" t="s">
        <v>58</v>
      </c>
      <c r="I47" s="5" t="s">
        <v>39</v>
      </c>
      <c r="J47" s="5" t="s">
        <v>17</v>
      </c>
      <c r="K47" s="6" t="s">
        <v>18</v>
      </c>
    </row>
    <row r="48" spans="1:11" x14ac:dyDescent="0.25">
      <c r="A48" s="7" t="s">
        <v>107</v>
      </c>
      <c r="B48" s="22" t="str">
        <f>_xlfn.CONCAT("./assets/images/product/",Tabla_4[[#This Row],[Name of file]],".jpg")</f>
        <v>./assets/images/product/product13.jpg</v>
      </c>
      <c r="C48" s="8" t="s">
        <v>134</v>
      </c>
      <c r="F48" s="8" t="s">
        <v>135</v>
      </c>
      <c r="G48" s="8">
        <v>100</v>
      </c>
      <c r="H48" s="8" t="s">
        <v>47</v>
      </c>
      <c r="I48" s="8" t="s">
        <v>55</v>
      </c>
      <c r="J48" s="8" t="s">
        <v>17</v>
      </c>
      <c r="K48" s="9" t="s">
        <v>18</v>
      </c>
    </row>
    <row r="49" spans="1:11" x14ac:dyDescent="0.25">
      <c r="A49" s="4" t="s">
        <v>107</v>
      </c>
      <c r="B49" s="22" t="str">
        <f>_xlfn.CONCAT("./assets/images/product/",Tabla_4[[#This Row],[Name of file]],".jpg")</f>
        <v>./assets/images/product/product14.jpg</v>
      </c>
      <c r="C49" s="5" t="s">
        <v>136</v>
      </c>
      <c r="F49" s="5" t="s">
        <v>137</v>
      </c>
      <c r="G49" s="5">
        <v>800</v>
      </c>
      <c r="H49" s="5" t="s">
        <v>21</v>
      </c>
      <c r="I49" s="5" t="s">
        <v>30</v>
      </c>
      <c r="J49" s="5" t="s">
        <v>17</v>
      </c>
      <c r="K49" s="6" t="s">
        <v>18</v>
      </c>
    </row>
    <row r="50" spans="1:11" x14ac:dyDescent="0.25">
      <c r="A50" s="7" t="s">
        <v>107</v>
      </c>
      <c r="B50" s="22" t="str">
        <f>_xlfn.CONCAT("./assets/images/product/",Tabla_4[[#This Row],[Name of file]],".jpg")</f>
        <v>./assets/images/product/product15.jpg</v>
      </c>
      <c r="C50" s="8" t="s">
        <v>138</v>
      </c>
      <c r="F50" s="8" t="s">
        <v>139</v>
      </c>
      <c r="G50" s="8">
        <v>320</v>
      </c>
      <c r="H50" s="8" t="s">
        <v>50</v>
      </c>
      <c r="I50" s="8" t="s">
        <v>51</v>
      </c>
      <c r="J50" s="8" t="s">
        <v>17</v>
      </c>
      <c r="K50" s="9" t="s">
        <v>18</v>
      </c>
    </row>
    <row r="51" spans="1:11" x14ac:dyDescent="0.25">
      <c r="A51" s="4" t="s">
        <v>107</v>
      </c>
      <c r="B51" s="22" t="str">
        <f>_xlfn.CONCAT("./assets/images/product/",Tabla_4[[#This Row],[Name of file]],".jpg")</f>
        <v>./assets/images/product/product16.jpg</v>
      </c>
      <c r="C51" s="5" t="s">
        <v>140</v>
      </c>
      <c r="F51" s="5" t="s">
        <v>141</v>
      </c>
      <c r="G51" s="5">
        <v>200</v>
      </c>
      <c r="H51" s="5" t="s">
        <v>15</v>
      </c>
      <c r="I51" s="5" t="s">
        <v>22</v>
      </c>
      <c r="J51" s="5" t="s">
        <v>17</v>
      </c>
      <c r="K51" s="6" t="s">
        <v>18</v>
      </c>
    </row>
    <row r="52" spans="1:11" x14ac:dyDescent="0.25">
      <c r="A52" s="7" t="s">
        <v>107</v>
      </c>
      <c r="B52" s="22" t="str">
        <f>_xlfn.CONCAT("./assets/images/product/",Tabla_4[[#This Row],[Name of file]],".jpg")</f>
        <v>./assets/images/product/product17.jpg</v>
      </c>
      <c r="C52" s="8" t="s">
        <v>142</v>
      </c>
      <c r="F52" s="8" t="s">
        <v>143</v>
      </c>
      <c r="G52" s="8">
        <v>400</v>
      </c>
      <c r="H52" s="8" t="s">
        <v>58</v>
      </c>
      <c r="I52" s="8" t="s">
        <v>39</v>
      </c>
      <c r="J52" s="8" t="s">
        <v>17</v>
      </c>
      <c r="K52" s="9" t="s">
        <v>18</v>
      </c>
    </row>
    <row r="53" spans="1:11" x14ac:dyDescent="0.25">
      <c r="A53" s="4" t="s">
        <v>107</v>
      </c>
      <c r="B53" s="22" t="str">
        <f>_xlfn.CONCAT("./assets/images/product/",Tabla_4[[#This Row],[Name of file]],".jpg")</f>
        <v>./assets/images/product/product18.jpg</v>
      </c>
      <c r="C53" s="5" t="s">
        <v>144</v>
      </c>
      <c r="F53" s="5" t="s">
        <v>145</v>
      </c>
      <c r="G53" s="5">
        <v>100</v>
      </c>
      <c r="H53" s="5" t="s">
        <v>61</v>
      </c>
      <c r="I53" s="5" t="s">
        <v>30</v>
      </c>
      <c r="J53" s="5" t="s">
        <v>17</v>
      </c>
      <c r="K53" s="6" t="s">
        <v>18</v>
      </c>
    </row>
    <row r="54" spans="1:11" x14ac:dyDescent="0.25">
      <c r="A54" s="7" t="s">
        <v>107</v>
      </c>
      <c r="B54" s="22" t="str">
        <f>_xlfn.CONCAT("./assets/images/product/",Tabla_4[[#This Row],[Name of file]],".jpg")</f>
        <v>./assets/images/product/product19.jpg</v>
      </c>
      <c r="C54" s="8" t="s">
        <v>146</v>
      </c>
      <c r="F54" s="8" t="s">
        <v>147</v>
      </c>
      <c r="G54" s="8">
        <v>800</v>
      </c>
      <c r="H54" s="8" t="s">
        <v>21</v>
      </c>
      <c r="I54" s="8" t="s">
        <v>55</v>
      </c>
      <c r="J54" s="8" t="s">
        <v>17</v>
      </c>
      <c r="K54" s="9" t="s">
        <v>18</v>
      </c>
    </row>
    <row r="55" spans="1:11" x14ac:dyDescent="0.25">
      <c r="A55" s="4" t="s">
        <v>107</v>
      </c>
      <c r="B55" s="22" t="str">
        <f>_xlfn.CONCAT("./assets/images/product/",Tabla_4[[#This Row],[Name of file]],".jpg")</f>
        <v>./assets/images/product/product20.jpg</v>
      </c>
      <c r="C55" s="5" t="s">
        <v>148</v>
      </c>
      <c r="F55" s="5" t="s">
        <v>149</v>
      </c>
      <c r="G55" s="5">
        <v>320</v>
      </c>
      <c r="H55" s="5" t="s">
        <v>50</v>
      </c>
      <c r="I55" s="5" t="s">
        <v>51</v>
      </c>
      <c r="J55" s="5" t="s">
        <v>17</v>
      </c>
      <c r="K55" s="6" t="s">
        <v>18</v>
      </c>
    </row>
    <row r="56" spans="1:11" x14ac:dyDescent="0.25">
      <c r="A56" s="7" t="s">
        <v>107</v>
      </c>
      <c r="B56" s="22" t="str">
        <f>_xlfn.CONCAT("./assets/images/product/",Tabla_4[[#This Row],[Name of file]],".jpg")</f>
        <v>./assets/images/product/product21.jpg</v>
      </c>
      <c r="C56" s="8" t="s">
        <v>150</v>
      </c>
      <c r="F56" s="8" t="s">
        <v>151</v>
      </c>
      <c r="G56" s="8">
        <v>200</v>
      </c>
      <c r="H56" s="8" t="s">
        <v>15</v>
      </c>
      <c r="I56" s="8" t="s">
        <v>22</v>
      </c>
      <c r="J56" s="8" t="s">
        <v>17</v>
      </c>
      <c r="K56" s="9" t="s">
        <v>18</v>
      </c>
    </row>
    <row r="57" spans="1:11" x14ac:dyDescent="0.25">
      <c r="A57" s="4" t="s">
        <v>152</v>
      </c>
      <c r="B57" s="22" t="str">
        <f>_xlfn.CONCAT("./assets/images/sports/",Tabla_4[[#This Row],[Name of file]],".jpg")</f>
        <v>./assets/images/sports/sp1.jpg</v>
      </c>
      <c r="C57" s="5" t="s">
        <v>153</v>
      </c>
      <c r="D57" s="5" t="s">
        <v>154</v>
      </c>
      <c r="E57" s="5" t="s">
        <v>155</v>
      </c>
      <c r="F57" s="19" t="s">
        <v>334</v>
      </c>
      <c r="G57" s="5">
        <v>4000</v>
      </c>
      <c r="H57" s="5" t="s">
        <v>156</v>
      </c>
      <c r="I57" s="5" t="s">
        <v>44</v>
      </c>
      <c r="J57" s="5" t="s">
        <v>17</v>
      </c>
      <c r="K57" s="6" t="s">
        <v>18</v>
      </c>
    </row>
    <row r="58" spans="1:11" x14ac:dyDescent="0.25">
      <c r="A58" s="7" t="s">
        <v>152</v>
      </c>
      <c r="B58" s="22" t="str">
        <f>_xlfn.CONCAT("./assets/images/sports/",Tabla_4[[#This Row],[Name of file]],".jpg")</f>
        <v>./assets/images/sports/sp2.jpg</v>
      </c>
      <c r="C58" s="8" t="s">
        <v>157</v>
      </c>
      <c r="F58" s="20" t="s">
        <v>335</v>
      </c>
      <c r="G58" s="8">
        <v>1600</v>
      </c>
      <c r="H58" s="10" t="s">
        <v>158</v>
      </c>
      <c r="I58" s="8" t="s">
        <v>30</v>
      </c>
      <c r="J58" s="8" t="s">
        <v>17</v>
      </c>
      <c r="K58" s="9" t="s">
        <v>18</v>
      </c>
    </row>
    <row r="59" spans="1:11" x14ac:dyDescent="0.25">
      <c r="A59" s="4" t="s">
        <v>152</v>
      </c>
      <c r="B59" s="22" t="str">
        <f>_xlfn.CONCAT("./assets/images/sports/",Tabla_4[[#This Row],[Name of file]],".jpg")</f>
        <v>./assets/images/sports/sp3.jpg</v>
      </c>
      <c r="C59" s="5" t="s">
        <v>159</v>
      </c>
      <c r="F59" s="19" t="s">
        <v>336</v>
      </c>
      <c r="G59" s="5">
        <v>800</v>
      </c>
      <c r="H59" s="5" t="s">
        <v>54</v>
      </c>
      <c r="I59" s="5" t="s">
        <v>39</v>
      </c>
      <c r="J59" s="5" t="s">
        <v>17</v>
      </c>
      <c r="K59" s="6" t="s">
        <v>18</v>
      </c>
    </row>
    <row r="60" spans="1:11" x14ac:dyDescent="0.25">
      <c r="A60" s="7" t="s">
        <v>152</v>
      </c>
      <c r="B60" s="22" t="str">
        <f>_xlfn.CONCAT("./assets/images/sports/",Tabla_4[[#This Row],[Name of file]],".jpg")</f>
        <v>./assets/images/sports/sp4.jpg</v>
      </c>
      <c r="C60" s="8" t="s">
        <v>160</v>
      </c>
      <c r="F60" s="20" t="s">
        <v>337</v>
      </c>
      <c r="G60" s="8">
        <v>3200</v>
      </c>
      <c r="H60" s="8" t="s">
        <v>161</v>
      </c>
      <c r="I60" s="8" t="s">
        <v>67</v>
      </c>
      <c r="J60" s="8" t="s">
        <v>17</v>
      </c>
      <c r="K60" s="9" t="s">
        <v>18</v>
      </c>
    </row>
    <row r="61" spans="1:11" x14ac:dyDescent="0.25">
      <c r="A61" s="4" t="s">
        <v>152</v>
      </c>
      <c r="B61" s="22" t="str">
        <f>_xlfn.CONCAT("./assets/images/sports/",Tabla_4[[#This Row],[Name of file]],".jpg")</f>
        <v>./assets/images/sports/sp5.jpg</v>
      </c>
      <c r="C61" s="5" t="s">
        <v>162</v>
      </c>
      <c r="F61" s="19" t="s">
        <v>338</v>
      </c>
      <c r="G61" s="5">
        <v>1000</v>
      </c>
      <c r="H61" s="5" t="s">
        <v>38</v>
      </c>
      <c r="I61" s="5" t="s">
        <v>22</v>
      </c>
      <c r="J61" s="5" t="s">
        <v>17</v>
      </c>
      <c r="K61" s="6" t="s">
        <v>18</v>
      </c>
    </row>
    <row r="62" spans="1:11" x14ac:dyDescent="0.25">
      <c r="A62" s="7" t="s">
        <v>152</v>
      </c>
      <c r="B62" s="22" t="str">
        <f>_xlfn.CONCAT("./assets/images/sports/",Tabla_4[[#This Row],[Name of file]],".jpg")</f>
        <v>./assets/images/sports/sp6.jpg</v>
      </c>
      <c r="C62" s="8" t="s">
        <v>163</v>
      </c>
      <c r="F62" s="20" t="s">
        <v>339</v>
      </c>
      <c r="G62" s="8">
        <v>2000</v>
      </c>
      <c r="H62" s="8" t="s">
        <v>156</v>
      </c>
      <c r="I62" s="8" t="s">
        <v>164</v>
      </c>
      <c r="J62" s="8" t="s">
        <v>17</v>
      </c>
      <c r="K62" s="9" t="s">
        <v>18</v>
      </c>
    </row>
    <row r="63" spans="1:11" x14ac:dyDescent="0.25">
      <c r="A63" s="4" t="s">
        <v>152</v>
      </c>
      <c r="B63" s="22" t="str">
        <f>_xlfn.CONCAT("./assets/images/sports/",Tabla_4[[#This Row],[Name of file]],".jpg")</f>
        <v>./assets/images/sports/sp7.jpg</v>
      </c>
      <c r="C63" s="5" t="s">
        <v>165</v>
      </c>
      <c r="F63" s="19" t="s">
        <v>340</v>
      </c>
      <c r="G63" s="5">
        <v>400</v>
      </c>
      <c r="H63" s="5" t="s">
        <v>25</v>
      </c>
      <c r="I63" s="5" t="s">
        <v>16</v>
      </c>
      <c r="J63" s="5" t="s">
        <v>17</v>
      </c>
      <c r="K63" s="6" t="s">
        <v>18</v>
      </c>
    </row>
    <row r="64" spans="1:11" x14ac:dyDescent="0.25">
      <c r="A64" s="7" t="s">
        <v>152</v>
      </c>
      <c r="B64" s="22" t="str">
        <f>_xlfn.CONCAT("./assets/images/sports/",Tabla_4[[#This Row],[Name of file]],".jpg")</f>
        <v>./assets/images/sports/sp8.jpg</v>
      </c>
      <c r="C64" s="8" t="s">
        <v>166</v>
      </c>
      <c r="F64" s="20" t="s">
        <v>341</v>
      </c>
      <c r="G64" s="8">
        <v>1600</v>
      </c>
      <c r="H64" s="10" t="s">
        <v>158</v>
      </c>
      <c r="I64" s="8" t="s">
        <v>51</v>
      </c>
      <c r="J64" s="8" t="s">
        <v>17</v>
      </c>
      <c r="K64" s="9" t="s">
        <v>18</v>
      </c>
    </row>
    <row r="65" spans="1:11" x14ac:dyDescent="0.25">
      <c r="A65" s="4" t="s">
        <v>152</v>
      </c>
      <c r="B65" s="22" t="str">
        <f>_xlfn.CONCAT("./assets/images/sports/",Tabla_4[[#This Row],[Name of file]],".jpg")</f>
        <v>./assets/images/sports/sp9.jpg</v>
      </c>
      <c r="C65" s="5" t="s">
        <v>167</v>
      </c>
      <c r="F65" s="19" t="s">
        <v>342</v>
      </c>
      <c r="G65" s="5">
        <v>3200</v>
      </c>
      <c r="H65" s="5" t="s">
        <v>161</v>
      </c>
      <c r="I65" s="5" t="s">
        <v>30</v>
      </c>
      <c r="J65" s="5" t="s">
        <v>17</v>
      </c>
      <c r="K65" s="6" t="s">
        <v>18</v>
      </c>
    </row>
    <row r="66" spans="1:11" x14ac:dyDescent="0.25">
      <c r="A66" s="7" t="s">
        <v>152</v>
      </c>
      <c r="B66" s="22" t="str">
        <f>_xlfn.CONCAT("./assets/images/sports/",Tabla_4[[#This Row],[Name of file]],".jpg")</f>
        <v>./assets/images/sports/sp10.jpg</v>
      </c>
      <c r="C66" s="8" t="s">
        <v>168</v>
      </c>
      <c r="F66" s="20" t="s">
        <v>343</v>
      </c>
      <c r="G66" s="8">
        <v>800</v>
      </c>
      <c r="H66" s="8" t="s">
        <v>54</v>
      </c>
      <c r="I66" s="8" t="s">
        <v>39</v>
      </c>
      <c r="J66" s="8" t="s">
        <v>17</v>
      </c>
      <c r="K66" s="9" t="s">
        <v>18</v>
      </c>
    </row>
    <row r="67" spans="1:11" x14ac:dyDescent="0.25">
      <c r="A67" s="4" t="s">
        <v>152</v>
      </c>
      <c r="B67" s="22" t="str">
        <f>_xlfn.CONCAT("./assets/images/sports/",Tabla_4[[#This Row],[Name of file]],".jpg")</f>
        <v>./assets/images/sports/sp11.jpg</v>
      </c>
      <c r="C67" s="5" t="s">
        <v>169</v>
      </c>
      <c r="F67" s="19" t="s">
        <v>344</v>
      </c>
      <c r="G67" s="5">
        <v>4000</v>
      </c>
      <c r="H67" s="5" t="s">
        <v>156</v>
      </c>
      <c r="I67" s="5" t="s">
        <v>44</v>
      </c>
      <c r="J67" s="5" t="s">
        <v>17</v>
      </c>
      <c r="K67" s="6" t="s">
        <v>18</v>
      </c>
    </row>
    <row r="68" spans="1:11" x14ac:dyDescent="0.25">
      <c r="A68" s="7" t="s">
        <v>152</v>
      </c>
      <c r="B68" s="22" t="str">
        <f>_xlfn.CONCAT("./assets/images/sports/",Tabla_4[[#This Row],[Name of file]],".jpg")</f>
        <v>./assets/images/sports/sp12.jpg</v>
      </c>
      <c r="C68" s="8" t="s">
        <v>170</v>
      </c>
      <c r="F68" s="20" t="s">
        <v>345</v>
      </c>
      <c r="G68" s="8">
        <v>1600</v>
      </c>
      <c r="H68" s="10" t="s">
        <v>158</v>
      </c>
      <c r="I68" s="8" t="s">
        <v>30</v>
      </c>
      <c r="J68" s="8" t="s">
        <v>17</v>
      </c>
      <c r="K68" s="9" t="s">
        <v>18</v>
      </c>
    </row>
    <row r="69" spans="1:11" x14ac:dyDescent="0.25">
      <c r="A69" s="4" t="s">
        <v>152</v>
      </c>
      <c r="B69" s="22" t="str">
        <f>_xlfn.CONCAT("./assets/images/sports/",Tabla_4[[#This Row],[Name of file]],".jpg")</f>
        <v>./assets/images/sports/sp13.jpg</v>
      </c>
      <c r="C69" s="5" t="s">
        <v>171</v>
      </c>
      <c r="F69" s="19" t="s">
        <v>346</v>
      </c>
      <c r="G69" s="5">
        <v>1000</v>
      </c>
      <c r="H69" s="5" t="s">
        <v>38</v>
      </c>
      <c r="I69" s="5" t="s">
        <v>22</v>
      </c>
      <c r="J69" s="5" t="s">
        <v>17</v>
      </c>
      <c r="K69" s="6" t="s">
        <v>18</v>
      </c>
    </row>
    <row r="70" spans="1:11" x14ac:dyDescent="0.25">
      <c r="A70" s="7" t="s">
        <v>152</v>
      </c>
      <c r="B70" s="22" t="str">
        <f>_xlfn.CONCAT("./assets/images/sports/",Tabla_4[[#This Row],[Name of file]],".jpg")</f>
        <v>./assets/images/sports/sp14.jpg</v>
      </c>
      <c r="C70" s="8" t="s">
        <v>172</v>
      </c>
      <c r="F70" s="20" t="s">
        <v>347</v>
      </c>
      <c r="G70" s="8">
        <v>2000</v>
      </c>
      <c r="H70" s="8" t="s">
        <v>156</v>
      </c>
      <c r="I70" s="8" t="s">
        <v>164</v>
      </c>
      <c r="J70" s="8" t="s">
        <v>17</v>
      </c>
      <c r="K70" s="9" t="s">
        <v>18</v>
      </c>
    </row>
    <row r="71" spans="1:11" x14ac:dyDescent="0.25">
      <c r="A71" s="4" t="s">
        <v>152</v>
      </c>
      <c r="B71" s="22" t="str">
        <f>_xlfn.CONCAT("./assets/images/sports/",Tabla_4[[#This Row],[Name of file]],".jpg")</f>
        <v>./assets/images/sports/sp15.jpg</v>
      </c>
      <c r="C71" s="5" t="s">
        <v>173</v>
      </c>
      <c r="F71" s="19" t="s">
        <v>348</v>
      </c>
      <c r="G71" s="5">
        <v>400</v>
      </c>
      <c r="H71" s="5" t="s">
        <v>25</v>
      </c>
      <c r="I71" s="5" t="s">
        <v>16</v>
      </c>
      <c r="J71" s="5" t="s">
        <v>17</v>
      </c>
      <c r="K71" s="6" t="s">
        <v>18</v>
      </c>
    </row>
    <row r="72" spans="1:11" x14ac:dyDescent="0.25">
      <c r="A72" s="7" t="s">
        <v>152</v>
      </c>
      <c r="B72" s="22" t="str">
        <f>_xlfn.CONCAT("./assets/images/sports/",Tabla_4[[#This Row],[Name of file]],".jpg")</f>
        <v>./assets/images/sports/sp16.jpg</v>
      </c>
      <c r="C72" s="8" t="s">
        <v>174</v>
      </c>
      <c r="F72" s="20" t="s">
        <v>349</v>
      </c>
      <c r="G72" s="8">
        <v>3200</v>
      </c>
      <c r="H72" s="8" t="s">
        <v>161</v>
      </c>
      <c r="I72" s="8" t="s">
        <v>67</v>
      </c>
      <c r="J72" s="8" t="s">
        <v>17</v>
      </c>
      <c r="K72" s="9" t="s">
        <v>18</v>
      </c>
    </row>
    <row r="73" spans="1:11" x14ac:dyDescent="0.25">
      <c r="A73" s="4" t="s">
        <v>152</v>
      </c>
      <c r="B73" s="22" t="str">
        <f>_xlfn.CONCAT("./assets/images/sports/",Tabla_4[[#This Row],[Name of file]],".jpg")</f>
        <v>./assets/images/sports/sp17.jpg</v>
      </c>
      <c r="C73" s="5" t="s">
        <v>175</v>
      </c>
      <c r="F73" s="19" t="s">
        <v>350</v>
      </c>
      <c r="G73" s="5">
        <v>800</v>
      </c>
      <c r="H73" s="5" t="s">
        <v>54</v>
      </c>
      <c r="I73" s="5" t="s">
        <v>39</v>
      </c>
      <c r="J73" s="5" t="s">
        <v>17</v>
      </c>
      <c r="K73" s="6" t="s">
        <v>18</v>
      </c>
    </row>
    <row r="74" spans="1:11" x14ac:dyDescent="0.25">
      <c r="A74" s="7" t="s">
        <v>152</v>
      </c>
      <c r="B74" s="22" t="str">
        <f>_xlfn.CONCAT("./assets/images/sports/",Tabla_4[[#This Row],[Name of file]],".jpg")</f>
        <v>./assets/images/sports/sp18.jpg</v>
      </c>
      <c r="C74" s="8" t="s">
        <v>176</v>
      </c>
      <c r="F74" s="20" t="s">
        <v>351</v>
      </c>
      <c r="G74" s="8">
        <v>1600</v>
      </c>
      <c r="H74" s="10" t="s">
        <v>158</v>
      </c>
      <c r="I74" s="8" t="s">
        <v>30</v>
      </c>
      <c r="J74" s="8" t="s">
        <v>17</v>
      </c>
      <c r="K74" s="9" t="s">
        <v>18</v>
      </c>
    </row>
    <row r="75" spans="1:11" x14ac:dyDescent="0.25">
      <c r="A75" s="4" t="s">
        <v>152</v>
      </c>
      <c r="B75" s="22" t="str">
        <f>_xlfn.CONCAT("./assets/images/sports/",Tabla_4[[#This Row],[Name of file]],".jpg")</f>
        <v>./assets/images/sports/sp19.jpg</v>
      </c>
      <c r="C75" s="5" t="s">
        <v>177</v>
      </c>
      <c r="F75" s="19" t="s">
        <v>352</v>
      </c>
      <c r="G75" s="5">
        <v>1000</v>
      </c>
      <c r="H75" s="5" t="s">
        <v>38</v>
      </c>
      <c r="I75" s="5" t="s">
        <v>22</v>
      </c>
      <c r="J75" s="5" t="s">
        <v>17</v>
      </c>
      <c r="K75" s="6" t="s">
        <v>18</v>
      </c>
    </row>
    <row r="76" spans="1:11" x14ac:dyDescent="0.25">
      <c r="A76" s="7" t="s">
        <v>152</v>
      </c>
      <c r="B76" s="22" t="str">
        <f>_xlfn.CONCAT("./assets/images/sports/",Tabla_4[[#This Row],[Name of file]],".jpg")</f>
        <v>./assets/images/sports/sp20.jpg</v>
      </c>
      <c r="C76" s="8" t="s">
        <v>178</v>
      </c>
      <c r="F76" s="20" t="s">
        <v>353</v>
      </c>
      <c r="G76" s="8">
        <v>2000</v>
      </c>
      <c r="H76" s="8" t="s">
        <v>156</v>
      </c>
      <c r="I76" s="8" t="s">
        <v>164</v>
      </c>
      <c r="J76" s="8" t="s">
        <v>17</v>
      </c>
      <c r="K76" s="9" t="s">
        <v>18</v>
      </c>
    </row>
    <row r="77" spans="1:11" x14ac:dyDescent="0.25">
      <c r="A77" s="4" t="s">
        <v>152</v>
      </c>
      <c r="B77" s="22" t="str">
        <f>_xlfn.CONCAT("./assets/images/sports/",Tabla_4[[#This Row],[Name of file]],".jpg")</f>
        <v>./assets/images/sports/sp21.jpg</v>
      </c>
      <c r="C77" s="5" t="s">
        <v>179</v>
      </c>
      <c r="F77" s="19" t="s">
        <v>354</v>
      </c>
      <c r="G77" s="5">
        <v>400</v>
      </c>
      <c r="H77" s="5" t="s">
        <v>25</v>
      </c>
      <c r="I77" s="5" t="s">
        <v>16</v>
      </c>
      <c r="J77" s="5" t="s">
        <v>17</v>
      </c>
      <c r="K77" s="6" t="s">
        <v>18</v>
      </c>
    </row>
    <row r="78" spans="1:11" x14ac:dyDescent="0.25">
      <c r="A78" s="7" t="s">
        <v>152</v>
      </c>
      <c r="B78" s="22" t="str">
        <f>_xlfn.CONCAT("./assets/images/sports/",Tabla_4[[#This Row],[Name of file]],".jpg")</f>
        <v>./assets/images/sports/sp22.jpg</v>
      </c>
      <c r="C78" s="8" t="s">
        <v>180</v>
      </c>
      <c r="F78" s="20" t="s">
        <v>355</v>
      </c>
      <c r="G78" s="8">
        <v>3200</v>
      </c>
      <c r="H78" s="8" t="s">
        <v>161</v>
      </c>
      <c r="I78" s="8" t="s">
        <v>67</v>
      </c>
      <c r="J78" s="8" t="s">
        <v>17</v>
      </c>
      <c r="K78" s="9" t="s">
        <v>18</v>
      </c>
    </row>
    <row r="79" spans="1:11" x14ac:dyDescent="0.25">
      <c r="A79" s="4" t="s">
        <v>152</v>
      </c>
      <c r="B79" s="22" t="str">
        <f>_xlfn.CONCAT("./assets/images/sports/",Tabla_4[[#This Row],[Name of file]],".jpg")</f>
        <v>./assets/images/sports/sp23.jpg</v>
      </c>
      <c r="C79" s="5" t="s">
        <v>181</v>
      </c>
      <c r="F79" s="19" t="s">
        <v>356</v>
      </c>
      <c r="G79" s="5">
        <v>800</v>
      </c>
      <c r="H79" s="5" t="s">
        <v>54</v>
      </c>
      <c r="I79" s="5" t="s">
        <v>39</v>
      </c>
      <c r="J79" s="5" t="s">
        <v>17</v>
      </c>
      <c r="K79" s="6" t="s">
        <v>18</v>
      </c>
    </row>
    <row r="80" spans="1:11" x14ac:dyDescent="0.25">
      <c r="A80" s="7" t="s">
        <v>152</v>
      </c>
      <c r="B80" s="22" t="str">
        <f>_xlfn.CONCAT("./assets/images/sports/",Tabla_4[[#This Row],[Name of file]],".jpg")</f>
        <v>./assets/images/sports/sp24.jpg</v>
      </c>
      <c r="C80" s="8" t="s">
        <v>182</v>
      </c>
      <c r="F80" s="20" t="s">
        <v>357</v>
      </c>
      <c r="G80" s="8">
        <v>1600</v>
      </c>
      <c r="H80" s="10" t="s">
        <v>158</v>
      </c>
      <c r="I80" s="8" t="s">
        <v>30</v>
      </c>
      <c r="J80" s="8" t="s">
        <v>17</v>
      </c>
      <c r="K80" s="9" t="s">
        <v>18</v>
      </c>
    </row>
    <row r="81" spans="1:11" x14ac:dyDescent="0.25">
      <c r="A81" s="4" t="s">
        <v>152</v>
      </c>
      <c r="B81" s="22" t="str">
        <f>_xlfn.CONCAT("./assets/images/sports/",Tabla_4[[#This Row],[Name of file]],".jpg")</f>
        <v>./assets/images/sports/sp25.jpg</v>
      </c>
      <c r="C81" s="5" t="s">
        <v>183</v>
      </c>
      <c r="F81" s="19" t="s">
        <v>358</v>
      </c>
      <c r="G81" s="5">
        <v>1000</v>
      </c>
      <c r="H81" s="5" t="s">
        <v>38</v>
      </c>
      <c r="I81" s="5" t="s">
        <v>22</v>
      </c>
      <c r="J81" s="5" t="s">
        <v>17</v>
      </c>
      <c r="K81" s="6" t="s">
        <v>18</v>
      </c>
    </row>
    <row r="82" spans="1:11" x14ac:dyDescent="0.25">
      <c r="A82" s="7" t="s">
        <v>152</v>
      </c>
      <c r="B82" s="22" t="str">
        <f>_xlfn.CONCAT("./assets/images/sports/",Tabla_4[[#This Row],[Name of file]],".jpg")</f>
        <v>./assets/images/sports/sp26.jpg</v>
      </c>
      <c r="C82" s="8" t="s">
        <v>184</v>
      </c>
      <c r="F82" s="20" t="s">
        <v>359</v>
      </c>
      <c r="G82" s="8">
        <v>2000</v>
      </c>
      <c r="H82" s="8" t="s">
        <v>156</v>
      </c>
      <c r="I82" s="8" t="s">
        <v>164</v>
      </c>
      <c r="J82" s="8" t="s">
        <v>17</v>
      </c>
      <c r="K82" s="9" t="s">
        <v>18</v>
      </c>
    </row>
    <row r="83" spans="1:11" x14ac:dyDescent="0.25">
      <c r="A83" s="4" t="s">
        <v>152</v>
      </c>
      <c r="B83" s="22" t="str">
        <f>_xlfn.CONCAT("./assets/images/sports/",Tabla_4[[#This Row],[Name of file]],".jpg")</f>
        <v>./assets/images/sports/sp27.jpg</v>
      </c>
      <c r="C83" s="5" t="s">
        <v>185</v>
      </c>
      <c r="F83" s="19" t="s">
        <v>360</v>
      </c>
      <c r="G83" s="5">
        <v>400</v>
      </c>
      <c r="H83" s="5" t="s">
        <v>25</v>
      </c>
      <c r="I83" s="5" t="s">
        <v>16</v>
      </c>
      <c r="J83" s="5" t="s">
        <v>17</v>
      </c>
      <c r="K83" s="6" t="s">
        <v>18</v>
      </c>
    </row>
    <row r="84" spans="1:11" x14ac:dyDescent="0.25">
      <c r="A84" s="7" t="s">
        <v>152</v>
      </c>
      <c r="B84" s="22" t="str">
        <f>_xlfn.CONCAT("./assets/images/sports/",Tabla_4[[#This Row],[Name of file]],".jpg")</f>
        <v>./assets/images/sports/sp28.jpg</v>
      </c>
      <c r="C84" s="8" t="s">
        <v>186</v>
      </c>
      <c r="F84" s="20" t="s">
        <v>361</v>
      </c>
      <c r="G84" s="8">
        <v>3200</v>
      </c>
      <c r="H84" s="8" t="s">
        <v>161</v>
      </c>
      <c r="I84" s="8" t="s">
        <v>67</v>
      </c>
      <c r="J84" s="8" t="s">
        <v>17</v>
      </c>
      <c r="K84" s="9" t="s">
        <v>18</v>
      </c>
    </row>
    <row r="85" spans="1:11" x14ac:dyDescent="0.25">
      <c r="A85" s="4" t="s">
        <v>152</v>
      </c>
      <c r="B85" s="22" t="str">
        <f>_xlfn.CONCAT("./assets/images/sports/",Tabla_4[[#This Row],[Name of file]],".jpg")</f>
        <v>./assets/images/sports/sp29.jpg</v>
      </c>
      <c r="C85" s="5" t="s">
        <v>187</v>
      </c>
      <c r="F85" s="19" t="s">
        <v>362</v>
      </c>
      <c r="G85" s="5">
        <v>800</v>
      </c>
      <c r="H85" s="5" t="s">
        <v>54</v>
      </c>
      <c r="I85" s="5" t="s">
        <v>39</v>
      </c>
      <c r="J85" s="5" t="s">
        <v>17</v>
      </c>
      <c r="K85" s="6" t="s">
        <v>18</v>
      </c>
    </row>
    <row r="86" spans="1:11" x14ac:dyDescent="0.25">
      <c r="A86" s="7" t="s">
        <v>152</v>
      </c>
      <c r="B86" s="22" t="str">
        <f>_xlfn.CONCAT("./assets/images/sports/",Tabla_4[[#This Row],[Name of file]],".jpg")</f>
        <v>./assets/images/sports/sp30.jpg</v>
      </c>
      <c r="C86" s="8" t="s">
        <v>188</v>
      </c>
      <c r="F86" s="20" t="s">
        <v>363</v>
      </c>
      <c r="G86" s="8">
        <v>1600</v>
      </c>
      <c r="H86" s="10" t="s">
        <v>158</v>
      </c>
      <c r="I86" s="8" t="s">
        <v>30</v>
      </c>
      <c r="J86" s="8" t="s">
        <v>17</v>
      </c>
      <c r="K86" s="9" t="s">
        <v>18</v>
      </c>
    </row>
    <row r="87" spans="1:11" x14ac:dyDescent="0.25">
      <c r="A87" s="4" t="s">
        <v>152</v>
      </c>
      <c r="B87" s="22" t="str">
        <f>_xlfn.CONCAT("./assets/images/sports/",Tabla_4[[#This Row],[Name of file]],".jpg")</f>
        <v>./assets/images/sports/sp31.jpg</v>
      </c>
      <c r="C87" s="5" t="s">
        <v>189</v>
      </c>
      <c r="F87" s="19" t="s">
        <v>364</v>
      </c>
      <c r="G87" s="5">
        <v>1000</v>
      </c>
      <c r="H87" s="5" t="s">
        <v>38</v>
      </c>
      <c r="I87" s="5" t="s">
        <v>22</v>
      </c>
      <c r="J87" s="5" t="s">
        <v>17</v>
      </c>
      <c r="K87" s="6" t="s">
        <v>18</v>
      </c>
    </row>
    <row r="88" spans="1:11" x14ac:dyDescent="0.25">
      <c r="A88" s="7" t="s">
        <v>152</v>
      </c>
      <c r="B88" s="22" t="str">
        <f>_xlfn.CONCAT("./assets/images/sports/",Tabla_4[[#This Row],[Name of file]],".jpg")</f>
        <v>./assets/images/sports/sp32.jpg</v>
      </c>
      <c r="C88" s="8" t="s">
        <v>190</v>
      </c>
      <c r="F88" s="20" t="s">
        <v>365</v>
      </c>
      <c r="G88" s="8">
        <v>2000</v>
      </c>
      <c r="H88" s="8" t="s">
        <v>156</v>
      </c>
      <c r="I88" s="8" t="s">
        <v>164</v>
      </c>
      <c r="J88" s="8" t="s">
        <v>17</v>
      </c>
      <c r="K88" s="9" t="s">
        <v>18</v>
      </c>
    </row>
    <row r="89" spans="1:11" x14ac:dyDescent="0.25">
      <c r="A89" s="4" t="s">
        <v>191</v>
      </c>
      <c r="B89" s="22" t="str">
        <f>_xlfn.CONCAT("./assets/images/travels/",Tabla_4[[#This Row],[Name of file]],".jpg")</f>
        <v>./assets/images/travels/travels1.jpg</v>
      </c>
      <c r="C89" s="5" t="s">
        <v>192</v>
      </c>
      <c r="D89" s="5" t="s">
        <v>193</v>
      </c>
      <c r="E89" s="5" t="s">
        <v>194</v>
      </c>
      <c r="F89" s="19" t="s">
        <v>366</v>
      </c>
      <c r="G89" s="5">
        <v>200</v>
      </c>
      <c r="H89" s="5" t="s">
        <v>25</v>
      </c>
      <c r="I89" s="5" t="s">
        <v>16</v>
      </c>
      <c r="J89" s="5" t="s">
        <v>17</v>
      </c>
      <c r="K89" s="6" t="s">
        <v>18</v>
      </c>
    </row>
    <row r="90" spans="1:11" x14ac:dyDescent="0.25">
      <c r="A90" s="7" t="s">
        <v>191</v>
      </c>
      <c r="B90" s="22" t="str">
        <f>_xlfn.CONCAT("./assets/images/travels/",Tabla_4[[#This Row],[Name of file]],".jpg")</f>
        <v>./assets/images/travels/travels2.jpg</v>
      </c>
      <c r="C90" s="8" t="s">
        <v>195</v>
      </c>
      <c r="F90" s="20" t="s">
        <v>367</v>
      </c>
      <c r="G90" s="8">
        <v>100</v>
      </c>
      <c r="H90" s="8" t="s">
        <v>38</v>
      </c>
      <c r="I90" s="8" t="s">
        <v>22</v>
      </c>
      <c r="J90" s="8" t="s">
        <v>17</v>
      </c>
      <c r="K90" s="9" t="s">
        <v>18</v>
      </c>
    </row>
    <row r="91" spans="1:11" x14ac:dyDescent="0.25">
      <c r="A91" s="4" t="s">
        <v>191</v>
      </c>
      <c r="B91" s="22" t="str">
        <f>_xlfn.CONCAT("./assets/images/travels/",Tabla_4[[#This Row],[Name of file]],".jpg")</f>
        <v>./assets/images/travels/travels3.jpg</v>
      </c>
      <c r="C91" s="5" t="s">
        <v>196</v>
      </c>
      <c r="F91" s="19" t="s">
        <v>368</v>
      </c>
      <c r="G91" s="5">
        <v>400</v>
      </c>
      <c r="H91" s="5" t="s">
        <v>15</v>
      </c>
      <c r="I91" s="5" t="s">
        <v>39</v>
      </c>
      <c r="J91" s="5" t="s">
        <v>17</v>
      </c>
      <c r="K91" s="6" t="s">
        <v>18</v>
      </c>
    </row>
    <row r="92" spans="1:11" x14ac:dyDescent="0.25">
      <c r="A92" s="7" t="s">
        <v>191</v>
      </c>
      <c r="B92" s="22" t="str">
        <f>_xlfn.CONCAT("./assets/images/travels/",Tabla_4[[#This Row],[Name of file]],".jpg")</f>
        <v>./assets/images/travels/travels4.jpg</v>
      </c>
      <c r="C92" s="8" t="s">
        <v>197</v>
      </c>
      <c r="F92" s="20" t="s">
        <v>369</v>
      </c>
      <c r="G92" s="8">
        <v>800</v>
      </c>
      <c r="H92" s="8" t="s">
        <v>21</v>
      </c>
      <c r="I92" s="8" t="s">
        <v>30</v>
      </c>
      <c r="J92" s="8" t="s">
        <v>17</v>
      </c>
      <c r="K92" s="9" t="s">
        <v>18</v>
      </c>
    </row>
    <row r="93" spans="1:11" x14ac:dyDescent="0.25">
      <c r="A93" s="4" t="s">
        <v>191</v>
      </c>
      <c r="B93" s="22" t="str">
        <f>_xlfn.CONCAT("./assets/images/travels/",Tabla_4[[#This Row],[Name of file]],".jpg")</f>
        <v>./assets/images/travels/travels5.jpg</v>
      </c>
      <c r="C93" s="5" t="s">
        <v>198</v>
      </c>
      <c r="F93" s="19" t="s">
        <v>370</v>
      </c>
      <c r="G93" s="5">
        <v>200</v>
      </c>
      <c r="H93" s="5" t="s">
        <v>70</v>
      </c>
      <c r="I93" s="5" t="s">
        <v>55</v>
      </c>
      <c r="J93" s="5" t="s">
        <v>17</v>
      </c>
      <c r="K93" s="6" t="s">
        <v>18</v>
      </c>
    </row>
    <row r="94" spans="1:11" x14ac:dyDescent="0.25">
      <c r="A94" s="7" t="s">
        <v>191</v>
      </c>
      <c r="B94" s="22" t="str">
        <f>_xlfn.CONCAT("./assets/images/travels/",Tabla_4[[#This Row],[Name of file]],".jpg")</f>
        <v>./assets/images/travels/travels6.jpg</v>
      </c>
      <c r="C94" s="8" t="s">
        <v>199</v>
      </c>
      <c r="F94" s="20" t="s">
        <v>371</v>
      </c>
      <c r="G94" s="8">
        <v>640</v>
      </c>
      <c r="H94" s="8" t="s">
        <v>50</v>
      </c>
      <c r="I94" s="8" t="s">
        <v>51</v>
      </c>
      <c r="J94" s="8" t="s">
        <v>17</v>
      </c>
      <c r="K94" s="9" t="s">
        <v>18</v>
      </c>
    </row>
    <row r="95" spans="1:11" x14ac:dyDescent="0.25">
      <c r="A95" s="4" t="s">
        <v>191</v>
      </c>
      <c r="B95" s="22" t="str">
        <f>_xlfn.CONCAT("./assets/images/travels/",Tabla_4[[#This Row],[Name of file]],".jpg")</f>
        <v>./assets/images/travels/travels7.jpg</v>
      </c>
      <c r="C95" s="5" t="s">
        <v>200</v>
      </c>
      <c r="F95" s="19" t="s">
        <v>372</v>
      </c>
      <c r="G95" s="5">
        <v>100</v>
      </c>
      <c r="H95" s="5" t="s">
        <v>54</v>
      </c>
      <c r="I95" s="5" t="s">
        <v>201</v>
      </c>
      <c r="J95" s="5" t="s">
        <v>17</v>
      </c>
      <c r="K95" s="6" t="s">
        <v>18</v>
      </c>
    </row>
    <row r="96" spans="1:11" x14ac:dyDescent="0.25">
      <c r="A96" s="7" t="s">
        <v>191</v>
      </c>
      <c r="B96" s="22" t="str">
        <f>_xlfn.CONCAT("./assets/images/travels/",Tabla_4[[#This Row],[Name of file]],".jpg")</f>
        <v>./assets/images/travels/travels8.jpg</v>
      </c>
      <c r="C96" s="8" t="s">
        <v>202</v>
      </c>
      <c r="F96" s="20" t="s">
        <v>373</v>
      </c>
      <c r="G96" s="8">
        <v>320</v>
      </c>
      <c r="H96" s="8" t="s">
        <v>47</v>
      </c>
      <c r="I96" s="8" t="s">
        <v>22</v>
      </c>
      <c r="J96" s="8" t="s">
        <v>17</v>
      </c>
      <c r="K96" s="9" t="s">
        <v>18</v>
      </c>
    </row>
    <row r="97" spans="1:11" x14ac:dyDescent="0.25">
      <c r="A97" s="4" t="s">
        <v>191</v>
      </c>
      <c r="B97" s="22" t="str">
        <f>_xlfn.CONCAT("./assets/images/travels/",Tabla_4[[#This Row],[Name of file]],".jpg")</f>
        <v>./assets/images/travels/travels9.jpg</v>
      </c>
      <c r="C97" s="5" t="s">
        <v>203</v>
      </c>
      <c r="F97" s="19" t="s">
        <v>374</v>
      </c>
      <c r="G97" s="5">
        <v>400</v>
      </c>
      <c r="H97" s="5" t="s">
        <v>61</v>
      </c>
      <c r="I97" s="5" t="s">
        <v>39</v>
      </c>
      <c r="J97" s="5" t="s">
        <v>17</v>
      </c>
      <c r="K97" s="6" t="s">
        <v>18</v>
      </c>
    </row>
    <row r="98" spans="1:11" x14ac:dyDescent="0.25">
      <c r="A98" s="7" t="s">
        <v>191</v>
      </c>
      <c r="B98" s="22" t="str">
        <f>_xlfn.CONCAT("./assets/images/travels/",Tabla_4[[#This Row],[Name of file]],".jpg")</f>
        <v>./assets/images/travels/travels10.jpg</v>
      </c>
      <c r="C98" s="8" t="s">
        <v>204</v>
      </c>
      <c r="F98" s="20" t="s">
        <v>375</v>
      </c>
      <c r="G98" s="8">
        <v>200</v>
      </c>
      <c r="H98" s="8" t="s">
        <v>15</v>
      </c>
      <c r="I98" s="8" t="s">
        <v>22</v>
      </c>
      <c r="J98" s="8" t="s">
        <v>17</v>
      </c>
      <c r="K98" s="9" t="s">
        <v>18</v>
      </c>
    </row>
    <row r="99" spans="1:11" x14ac:dyDescent="0.25">
      <c r="A99" s="4" t="s">
        <v>191</v>
      </c>
      <c r="B99" s="22" t="str">
        <f>_xlfn.CONCAT("./assets/images/travels/",Tabla_4[[#This Row],[Name of file]],".jpg")</f>
        <v>./assets/images/travels/travels11.jpg</v>
      </c>
      <c r="C99" s="5" t="s">
        <v>205</v>
      </c>
      <c r="F99" s="19" t="s">
        <v>376</v>
      </c>
      <c r="G99" s="5">
        <v>100</v>
      </c>
      <c r="H99" s="5" t="s">
        <v>38</v>
      </c>
      <c r="I99" s="5" t="s">
        <v>55</v>
      </c>
      <c r="J99" s="5" t="s">
        <v>17</v>
      </c>
      <c r="K99" s="6" t="s">
        <v>18</v>
      </c>
    </row>
    <row r="100" spans="1:11" x14ac:dyDescent="0.25">
      <c r="A100" s="7" t="s">
        <v>191</v>
      </c>
      <c r="B100" s="22" t="str">
        <f>_xlfn.CONCAT("./assets/images/travels/",Tabla_4[[#This Row],[Name of file]],".jpg")</f>
        <v>./assets/images/travels/travels12.jpg</v>
      </c>
      <c r="C100" s="8" t="s">
        <v>206</v>
      </c>
      <c r="F100" s="20" t="s">
        <v>377</v>
      </c>
      <c r="G100" s="8">
        <v>800</v>
      </c>
      <c r="H100" s="8" t="s">
        <v>21</v>
      </c>
      <c r="I100" s="8" t="s">
        <v>30</v>
      </c>
      <c r="J100" s="8" t="s">
        <v>17</v>
      </c>
      <c r="K100" s="9" t="s">
        <v>18</v>
      </c>
    </row>
    <row r="101" spans="1:11" x14ac:dyDescent="0.25">
      <c r="A101" s="4" t="s">
        <v>191</v>
      </c>
      <c r="B101" s="22" t="str">
        <f>_xlfn.CONCAT("./assets/images/travels/",Tabla_4[[#This Row],[Name of file]],".jpg")</f>
        <v>./assets/images/travels/travels13.jpg</v>
      </c>
      <c r="C101" s="5" t="s">
        <v>207</v>
      </c>
      <c r="F101" s="19" t="s">
        <v>378</v>
      </c>
      <c r="G101" s="5">
        <v>640</v>
      </c>
      <c r="H101" s="5" t="s">
        <v>50</v>
      </c>
      <c r="I101" s="5" t="s">
        <v>51</v>
      </c>
      <c r="J101" s="5" t="s">
        <v>17</v>
      </c>
      <c r="K101" s="6" t="s">
        <v>18</v>
      </c>
    </row>
    <row r="102" spans="1:11" x14ac:dyDescent="0.25">
      <c r="A102" s="7" t="s">
        <v>191</v>
      </c>
      <c r="B102" s="22" t="str">
        <f>_xlfn.CONCAT("./assets/images/travels/",Tabla_4[[#This Row],[Name of file]],".jpg")</f>
        <v>./assets/images/travels/travels14.jpg</v>
      </c>
      <c r="C102" s="8" t="s">
        <v>208</v>
      </c>
      <c r="F102" s="20" t="s">
        <v>379</v>
      </c>
      <c r="G102" s="8">
        <v>200</v>
      </c>
      <c r="H102" s="8" t="s">
        <v>70</v>
      </c>
      <c r="I102" s="8" t="s">
        <v>22</v>
      </c>
      <c r="J102" s="8" t="s">
        <v>17</v>
      </c>
      <c r="K102" s="9" t="s">
        <v>18</v>
      </c>
    </row>
    <row r="103" spans="1:11" x14ac:dyDescent="0.25">
      <c r="A103" s="4" t="s">
        <v>191</v>
      </c>
      <c r="B103" s="22" t="str">
        <f>_xlfn.CONCAT("./assets/images/travels/",Tabla_4[[#This Row],[Name of file]],".jpg")</f>
        <v>./assets/images/travels/travels15.jpg</v>
      </c>
      <c r="C103" s="5" t="s">
        <v>209</v>
      </c>
      <c r="F103" s="19" t="s">
        <v>380</v>
      </c>
      <c r="G103" s="5">
        <v>400</v>
      </c>
      <c r="H103" s="5" t="s">
        <v>15</v>
      </c>
      <c r="I103" s="5" t="s">
        <v>39</v>
      </c>
      <c r="J103" s="5" t="s">
        <v>17</v>
      </c>
      <c r="K103" s="6" t="s">
        <v>18</v>
      </c>
    </row>
    <row r="104" spans="1:11" x14ac:dyDescent="0.25">
      <c r="A104" s="7" t="s">
        <v>191</v>
      </c>
      <c r="B104" s="22" t="str">
        <f>_xlfn.CONCAT("./assets/images/travels/",Tabla_4[[#This Row],[Name of file]],".jpg")</f>
        <v>./assets/images/travels/travels16.jpg</v>
      </c>
      <c r="C104" s="8" t="s">
        <v>210</v>
      </c>
      <c r="F104" s="20" t="s">
        <v>381</v>
      </c>
      <c r="G104" s="8">
        <v>100</v>
      </c>
      <c r="H104" s="8" t="s">
        <v>54</v>
      </c>
      <c r="I104" s="8" t="s">
        <v>201</v>
      </c>
      <c r="J104" s="8" t="s">
        <v>17</v>
      </c>
      <c r="K104" s="9" t="s">
        <v>18</v>
      </c>
    </row>
    <row r="105" spans="1:11" x14ac:dyDescent="0.25">
      <c r="A105" s="4" t="s">
        <v>191</v>
      </c>
      <c r="B105" s="22" t="str">
        <f>_xlfn.CONCAT("./assets/images/travels/",Tabla_4[[#This Row],[Name of file]],".jpg")</f>
        <v>./assets/images/travels/travels17.jpg</v>
      </c>
      <c r="C105" s="5" t="s">
        <v>211</v>
      </c>
      <c r="F105" s="19" t="s">
        <v>382</v>
      </c>
      <c r="G105" s="5">
        <v>320</v>
      </c>
      <c r="H105" s="5" t="s">
        <v>47</v>
      </c>
      <c r="I105" s="5" t="s">
        <v>22</v>
      </c>
      <c r="J105" s="5" t="s">
        <v>17</v>
      </c>
      <c r="K105" s="6" t="s">
        <v>18</v>
      </c>
    </row>
    <row r="106" spans="1:11" x14ac:dyDescent="0.25">
      <c r="A106" s="7" t="s">
        <v>191</v>
      </c>
      <c r="B106" s="22" t="str">
        <f>_xlfn.CONCAT("./assets/images/travels/",Tabla_4[[#This Row],[Name of file]],".jpg")</f>
        <v>./assets/images/travels/travels18.jpg</v>
      </c>
      <c r="C106" s="8" t="s">
        <v>212</v>
      </c>
      <c r="F106" s="20" t="s">
        <v>383</v>
      </c>
      <c r="G106" s="8">
        <v>200</v>
      </c>
      <c r="H106" s="8" t="s">
        <v>25</v>
      </c>
      <c r="I106" s="8" t="s">
        <v>55</v>
      </c>
      <c r="J106" s="8" t="s">
        <v>17</v>
      </c>
      <c r="K106" s="9" t="s">
        <v>18</v>
      </c>
    </row>
    <row r="107" spans="1:11" x14ac:dyDescent="0.25">
      <c r="A107" s="4" t="s">
        <v>191</v>
      </c>
      <c r="B107" s="22" t="str">
        <f>_xlfn.CONCAT("./assets/images/travels/",Tabla_4[[#This Row],[Name of file]],".jpg")</f>
        <v>./assets/images/travels/travels19.jpg</v>
      </c>
      <c r="C107" s="5" t="s">
        <v>213</v>
      </c>
      <c r="F107" s="19" t="s">
        <v>384</v>
      </c>
      <c r="G107" s="5">
        <v>800</v>
      </c>
      <c r="H107" s="5" t="s">
        <v>21</v>
      </c>
      <c r="I107" s="5" t="s">
        <v>30</v>
      </c>
      <c r="J107" s="5" t="s">
        <v>17</v>
      </c>
      <c r="K107" s="6" t="s">
        <v>18</v>
      </c>
    </row>
    <row r="108" spans="1:11" x14ac:dyDescent="0.25">
      <c r="A108" s="7" t="s">
        <v>191</v>
      </c>
      <c r="B108" s="22" t="str">
        <f>_xlfn.CONCAT("./assets/images/travels/",Tabla_4[[#This Row],[Name of file]],".jpg")</f>
        <v>./assets/images/travels/travels20.jpg</v>
      </c>
      <c r="C108" s="8" t="s">
        <v>214</v>
      </c>
      <c r="F108" s="20" t="s">
        <v>385</v>
      </c>
      <c r="G108" s="8">
        <v>640</v>
      </c>
      <c r="H108" s="8" t="s">
        <v>50</v>
      </c>
      <c r="I108" s="8" t="s">
        <v>51</v>
      </c>
      <c r="J108" s="8" t="s">
        <v>17</v>
      </c>
      <c r="K108" s="9" t="s">
        <v>18</v>
      </c>
    </row>
    <row r="109" spans="1:11" x14ac:dyDescent="0.25">
      <c r="A109" s="4" t="s">
        <v>191</v>
      </c>
      <c r="B109" s="22" t="str">
        <f>_xlfn.CONCAT("./assets/images/travels/",Tabla_4[[#This Row],[Name of file]],".jpg")</f>
        <v>./assets/images/travels/travels21.jpg</v>
      </c>
      <c r="C109" s="5" t="s">
        <v>215</v>
      </c>
      <c r="F109" s="19" t="s">
        <v>386</v>
      </c>
      <c r="G109" s="5">
        <v>100</v>
      </c>
      <c r="H109" s="5" t="s">
        <v>38</v>
      </c>
      <c r="I109" s="5" t="s">
        <v>22</v>
      </c>
      <c r="J109" s="5" t="s">
        <v>17</v>
      </c>
      <c r="K109" s="6" t="s">
        <v>18</v>
      </c>
    </row>
    <row r="110" spans="1:11" x14ac:dyDescent="0.25">
      <c r="A110" s="7" t="s">
        <v>191</v>
      </c>
      <c r="B110" s="22" t="str">
        <f>_xlfn.CONCAT("./assets/images/travels/",Tabla_4[[#This Row],[Name of file]],".jpg")</f>
        <v>./assets/images/travels/travels22.jpg</v>
      </c>
      <c r="C110" s="8" t="s">
        <v>216</v>
      </c>
      <c r="F110" s="20" t="s">
        <v>387</v>
      </c>
      <c r="G110" s="8">
        <v>400</v>
      </c>
      <c r="H110" s="8" t="s">
        <v>15</v>
      </c>
      <c r="I110" s="8" t="s">
        <v>39</v>
      </c>
      <c r="J110" s="8" t="s">
        <v>17</v>
      </c>
      <c r="K110" s="9" t="s">
        <v>18</v>
      </c>
    </row>
    <row r="111" spans="1:11" x14ac:dyDescent="0.25">
      <c r="A111" s="4" t="s">
        <v>191</v>
      </c>
      <c r="B111" s="22" t="str">
        <f>_xlfn.CONCAT("./assets/images/travels/",Tabla_4[[#This Row],[Name of file]],".jpg")</f>
        <v>./assets/images/travels/travels23.jpg</v>
      </c>
      <c r="C111" s="5" t="s">
        <v>217</v>
      </c>
      <c r="F111" s="19" t="s">
        <v>388</v>
      </c>
      <c r="G111" s="5">
        <v>800</v>
      </c>
      <c r="H111" s="5" t="s">
        <v>21</v>
      </c>
      <c r="I111" s="5" t="s">
        <v>30</v>
      </c>
      <c r="J111" s="5" t="s">
        <v>17</v>
      </c>
      <c r="K111" s="6" t="s">
        <v>18</v>
      </c>
    </row>
    <row r="112" spans="1:11" x14ac:dyDescent="0.25">
      <c r="A112" s="7" t="s">
        <v>191</v>
      </c>
      <c r="B112" s="22" t="str">
        <f>_xlfn.CONCAT("./assets/images/travels/",Tabla_4[[#This Row],[Name of file]],".jpg")</f>
        <v>./assets/images/travels/travels24.jpg</v>
      </c>
      <c r="C112" s="8" t="s">
        <v>218</v>
      </c>
      <c r="F112" s="20" t="s">
        <v>389</v>
      </c>
      <c r="G112" s="8">
        <v>200</v>
      </c>
      <c r="H112" s="8" t="s">
        <v>70</v>
      </c>
      <c r="I112" s="8" t="s">
        <v>55</v>
      </c>
      <c r="J112" s="8" t="s">
        <v>17</v>
      </c>
      <c r="K112" s="9" t="s">
        <v>18</v>
      </c>
    </row>
    <row r="113" spans="1:11" x14ac:dyDescent="0.25">
      <c r="A113" s="4" t="s">
        <v>191</v>
      </c>
      <c r="B113" s="22" t="str">
        <f>_xlfn.CONCAT("./assets/images/travels/",Tabla_4[[#This Row],[Name of file]],".jpg")</f>
        <v>./assets/images/travels/travels25.jpg</v>
      </c>
      <c r="C113" s="5" t="s">
        <v>219</v>
      </c>
      <c r="F113" s="19" t="s">
        <v>390</v>
      </c>
      <c r="G113" s="5">
        <v>100</v>
      </c>
      <c r="H113" s="5" t="s">
        <v>54</v>
      </c>
      <c r="I113" s="5" t="s">
        <v>201</v>
      </c>
      <c r="J113" s="5" t="s">
        <v>17</v>
      </c>
      <c r="K113" s="6" t="s">
        <v>18</v>
      </c>
    </row>
    <row r="114" spans="1:11" x14ac:dyDescent="0.25">
      <c r="A114" s="7" t="s">
        <v>191</v>
      </c>
      <c r="B114" s="22" t="str">
        <f>_xlfn.CONCAT("./assets/images/travels/",Tabla_4[[#This Row],[Name of file]],".jpg")</f>
        <v>./assets/images/travels/travels26.jpg</v>
      </c>
      <c r="C114" s="8" t="s">
        <v>220</v>
      </c>
      <c r="F114" s="20" t="s">
        <v>391</v>
      </c>
      <c r="G114" s="8">
        <v>320</v>
      </c>
      <c r="H114" s="8" t="s">
        <v>47</v>
      </c>
      <c r="I114" s="8" t="s">
        <v>22</v>
      </c>
      <c r="J114" s="8" t="s">
        <v>17</v>
      </c>
      <c r="K114" s="9" t="s">
        <v>18</v>
      </c>
    </row>
    <row r="115" spans="1:11" x14ac:dyDescent="0.25">
      <c r="A115" s="4" t="s">
        <v>191</v>
      </c>
      <c r="B115" s="22" t="str">
        <f>_xlfn.CONCAT("./assets/images/travels/",Tabla_4[[#This Row],[Name of file]],".jpg")</f>
        <v>./assets/images/travels/travels27.jpg</v>
      </c>
      <c r="C115" s="5" t="s">
        <v>221</v>
      </c>
      <c r="F115" s="19" t="s">
        <v>392</v>
      </c>
      <c r="G115" s="5">
        <v>400</v>
      </c>
      <c r="H115" s="5" t="s">
        <v>15</v>
      </c>
      <c r="I115" s="5" t="s">
        <v>39</v>
      </c>
      <c r="J115" s="5" t="s">
        <v>17</v>
      </c>
      <c r="K115" s="6" t="s">
        <v>18</v>
      </c>
    </row>
    <row r="116" spans="1:11" x14ac:dyDescent="0.25">
      <c r="A116" s="7" t="s">
        <v>191</v>
      </c>
      <c r="B116" s="22" t="str">
        <f>_xlfn.CONCAT("./assets/images/travels/",Tabla_4[[#This Row],[Name of file]],".jpg")</f>
        <v>./assets/images/travels/travels28.jpg</v>
      </c>
      <c r="C116" s="8" t="s">
        <v>222</v>
      </c>
      <c r="F116" s="20" t="s">
        <v>393</v>
      </c>
      <c r="G116" s="8">
        <v>800</v>
      </c>
      <c r="H116" s="8" t="s">
        <v>21</v>
      </c>
      <c r="I116" s="8" t="s">
        <v>30</v>
      </c>
      <c r="J116" s="8" t="s">
        <v>17</v>
      </c>
      <c r="K116" s="9" t="s">
        <v>18</v>
      </c>
    </row>
    <row r="117" spans="1:11" x14ac:dyDescent="0.25">
      <c r="A117" s="4" t="s">
        <v>191</v>
      </c>
      <c r="B117" s="22" t="str">
        <f>_xlfn.CONCAT("./assets/images/travels/",Tabla_4[[#This Row],[Name of file]],".jpg")</f>
        <v>./assets/images/travels/travels29.jpg</v>
      </c>
      <c r="C117" s="5" t="s">
        <v>223</v>
      </c>
      <c r="F117" s="19" t="s">
        <v>394</v>
      </c>
      <c r="G117" s="5">
        <v>200</v>
      </c>
      <c r="H117" s="5" t="s">
        <v>70</v>
      </c>
      <c r="I117" s="5" t="s">
        <v>55</v>
      </c>
      <c r="J117" s="5" t="s">
        <v>17</v>
      </c>
      <c r="K117" s="6" t="s">
        <v>18</v>
      </c>
    </row>
    <row r="118" spans="1:11" x14ac:dyDescent="0.25">
      <c r="A118" s="7" t="s">
        <v>191</v>
      </c>
      <c r="B118" s="22" t="str">
        <f>_xlfn.CONCAT("./assets/images/travels/",Tabla_4[[#This Row],[Name of file]],".jpg")</f>
        <v>./assets/images/travels/travels30.jpg</v>
      </c>
      <c r="C118" s="8" t="s">
        <v>224</v>
      </c>
      <c r="F118" s="20" t="s">
        <v>395</v>
      </c>
      <c r="G118" s="8">
        <v>100</v>
      </c>
      <c r="H118" s="8" t="s">
        <v>38</v>
      </c>
      <c r="I118" s="8" t="s">
        <v>22</v>
      </c>
      <c r="J118" s="8" t="s">
        <v>17</v>
      </c>
      <c r="K118" s="9" t="s">
        <v>18</v>
      </c>
    </row>
    <row r="119" spans="1:11" x14ac:dyDescent="0.25">
      <c r="A119" s="4" t="s">
        <v>191</v>
      </c>
      <c r="B119" s="22" t="str">
        <f>_xlfn.CONCAT("./assets/images/travels/",Tabla_4[[#This Row],[Name of file]],".jpg")</f>
        <v>./assets/images/travels/travels31.jpg</v>
      </c>
      <c r="C119" s="5" t="s">
        <v>225</v>
      </c>
      <c r="F119" s="19" t="s">
        <v>396</v>
      </c>
      <c r="G119" s="5">
        <v>640</v>
      </c>
      <c r="H119" s="5" t="s">
        <v>50</v>
      </c>
      <c r="I119" s="5" t="s">
        <v>51</v>
      </c>
      <c r="J119" s="5" t="s">
        <v>17</v>
      </c>
      <c r="K119" s="6" t="s">
        <v>18</v>
      </c>
    </row>
    <row r="120" spans="1:11" x14ac:dyDescent="0.25">
      <c r="A120" s="7" t="s">
        <v>191</v>
      </c>
      <c r="B120" s="22" t="str">
        <f>_xlfn.CONCAT("./assets/images/travels/",Tabla_4[[#This Row],[Name of file]],".jpg")</f>
        <v>./assets/images/travels/travels32.jpg</v>
      </c>
      <c r="C120" s="8" t="s">
        <v>226</v>
      </c>
      <c r="F120" s="20" t="s">
        <v>397</v>
      </c>
      <c r="G120" s="8">
        <v>200</v>
      </c>
      <c r="H120" s="8" t="s">
        <v>25</v>
      </c>
      <c r="I120" s="8" t="s">
        <v>55</v>
      </c>
      <c r="J120" s="8" t="s">
        <v>17</v>
      </c>
      <c r="K120" s="9" t="s">
        <v>18</v>
      </c>
    </row>
    <row r="121" spans="1:11" x14ac:dyDescent="0.25">
      <c r="A121" s="4" t="s">
        <v>191</v>
      </c>
      <c r="B121" s="22" t="str">
        <f>_xlfn.CONCAT("./assets/images/travels/",Tabla_4[[#This Row],[Name of file]],".jpg")</f>
        <v>./assets/images/travels/travels33.jpg</v>
      </c>
      <c r="C121" s="5" t="s">
        <v>227</v>
      </c>
      <c r="F121" s="19" t="s">
        <v>398</v>
      </c>
      <c r="G121" s="5">
        <v>400</v>
      </c>
      <c r="H121" s="5" t="s">
        <v>15</v>
      </c>
      <c r="I121" s="5" t="s">
        <v>39</v>
      </c>
      <c r="J121" s="5" t="s">
        <v>17</v>
      </c>
      <c r="K121" s="6" t="s">
        <v>18</v>
      </c>
    </row>
    <row r="122" spans="1:11" x14ac:dyDescent="0.25">
      <c r="A122" s="7" t="s">
        <v>191</v>
      </c>
      <c r="B122" s="22" t="str">
        <f>_xlfn.CONCAT("./assets/images/travels/",Tabla_4[[#This Row],[Name of file]],".jpg")</f>
        <v>./assets/images/travels/travels34.jpg</v>
      </c>
      <c r="C122" s="8" t="s">
        <v>228</v>
      </c>
      <c r="F122" s="20" t="s">
        <v>399</v>
      </c>
      <c r="G122" s="8">
        <v>800</v>
      </c>
      <c r="H122" s="8" t="s">
        <v>21</v>
      </c>
      <c r="I122" s="8" t="s">
        <v>30</v>
      </c>
      <c r="J122" s="8" t="s">
        <v>17</v>
      </c>
      <c r="K122" s="9" t="s">
        <v>18</v>
      </c>
    </row>
    <row r="123" spans="1:11" x14ac:dyDescent="0.25">
      <c r="A123" s="4" t="s">
        <v>191</v>
      </c>
      <c r="B123" s="22" t="str">
        <f>_xlfn.CONCAT("./assets/images/travels/",Tabla_4[[#This Row],[Name of file]],".jpg")</f>
        <v>./assets/images/travels/travels35.jpg</v>
      </c>
      <c r="C123" s="5" t="s">
        <v>229</v>
      </c>
      <c r="F123" s="19" t="s">
        <v>400</v>
      </c>
      <c r="G123" s="5">
        <v>100</v>
      </c>
      <c r="H123" s="5" t="s">
        <v>54</v>
      </c>
      <c r="I123" s="5" t="s">
        <v>201</v>
      </c>
      <c r="J123" s="5" t="s">
        <v>17</v>
      </c>
      <c r="K123" s="6" t="s">
        <v>18</v>
      </c>
    </row>
    <row r="124" spans="1:11" x14ac:dyDescent="0.25">
      <c r="A124" s="7" t="s">
        <v>191</v>
      </c>
      <c r="B124" s="22" t="str">
        <f>_xlfn.CONCAT("./assets/images/travels/",Tabla_4[[#This Row],[Name of file]],".jpg")</f>
        <v>./assets/images/travels/travels36.jpg</v>
      </c>
      <c r="C124" s="8" t="s">
        <v>230</v>
      </c>
      <c r="F124" s="20" t="s">
        <v>401</v>
      </c>
      <c r="G124" s="8">
        <v>320</v>
      </c>
      <c r="H124" s="8" t="s">
        <v>47</v>
      </c>
      <c r="I124" s="8" t="s">
        <v>22</v>
      </c>
      <c r="J124" s="8" t="s">
        <v>17</v>
      </c>
      <c r="K124" s="9" t="s">
        <v>18</v>
      </c>
    </row>
    <row r="125" spans="1:11" x14ac:dyDescent="0.25">
      <c r="A125" s="4" t="s">
        <v>191</v>
      </c>
      <c r="B125" s="22" t="str">
        <f>_xlfn.CONCAT("./assets/images/travels/",Tabla_4[[#This Row],[Name of file]],".jpg")</f>
        <v>./assets/images/travels/travels37.jpg</v>
      </c>
      <c r="C125" s="5" t="s">
        <v>231</v>
      </c>
      <c r="F125" s="19" t="s">
        <v>402</v>
      </c>
      <c r="G125" s="5">
        <v>200</v>
      </c>
      <c r="H125" s="5" t="s">
        <v>15</v>
      </c>
      <c r="I125" s="5" t="s">
        <v>22</v>
      </c>
      <c r="J125" s="5" t="s">
        <v>17</v>
      </c>
      <c r="K125" s="6" t="s">
        <v>18</v>
      </c>
    </row>
    <row r="126" spans="1:11" x14ac:dyDescent="0.25">
      <c r="A126" s="7" t="s">
        <v>232</v>
      </c>
      <c r="B126" s="22" t="str">
        <f>_xlfn.CONCAT("./assets/images/weddings/",Tabla_4[[#This Row],[Name of file]],".jpg")</f>
        <v>./assets/images/weddings/wed1.jpg</v>
      </c>
      <c r="C126" s="8" t="s">
        <v>233</v>
      </c>
      <c r="D126" s="8" t="s">
        <v>234</v>
      </c>
      <c r="E126" s="8" t="s">
        <v>235</v>
      </c>
      <c r="F126" s="20" t="str">
        <f>_xlfn.CONCAT(Tabla_4[[#This Row],[Name of file]],"hist")</f>
        <v>wed1hist</v>
      </c>
      <c r="G126" s="8">
        <v>100</v>
      </c>
      <c r="H126" s="8" t="s">
        <v>38</v>
      </c>
      <c r="I126" s="8" t="s">
        <v>16</v>
      </c>
      <c r="J126" s="8" t="s">
        <v>17</v>
      </c>
      <c r="K126" s="9" t="s">
        <v>18</v>
      </c>
    </row>
    <row r="127" spans="1:11" x14ac:dyDescent="0.25">
      <c r="A127" s="4" t="s">
        <v>232</v>
      </c>
      <c r="B127" s="22" t="str">
        <f>_xlfn.CONCAT("./assets/images/weddings/",Tabla_4[[#This Row],[Name of file]],".jpg")</f>
        <v>./assets/images/weddings/wed2.jpg</v>
      </c>
      <c r="C127" s="5" t="s">
        <v>236</v>
      </c>
      <c r="F127" s="20" t="str">
        <f>_xlfn.CONCAT(Tabla_4[[#This Row],[Name of file]],"hist")</f>
        <v>wed2hist</v>
      </c>
      <c r="G127" s="5">
        <v>200</v>
      </c>
      <c r="H127" s="5" t="s">
        <v>25</v>
      </c>
      <c r="I127" s="5" t="s">
        <v>39</v>
      </c>
      <c r="J127" s="5" t="s">
        <v>17</v>
      </c>
      <c r="K127" s="6" t="s">
        <v>18</v>
      </c>
    </row>
    <row r="128" spans="1:11" x14ac:dyDescent="0.25">
      <c r="A128" s="7" t="s">
        <v>232</v>
      </c>
      <c r="B128" s="22" t="str">
        <f>_xlfn.CONCAT("./assets/images/weddings/",Tabla_4[[#This Row],[Name of file]],".jpg")</f>
        <v>./assets/images/weddings/wed3.jpg</v>
      </c>
      <c r="C128" s="8" t="s">
        <v>237</v>
      </c>
      <c r="F128" s="20" t="str">
        <f>_xlfn.CONCAT(Tabla_4[[#This Row],[Name of file]],"hist")</f>
        <v>wed3hist</v>
      </c>
      <c r="G128" s="8">
        <v>800</v>
      </c>
      <c r="H128" s="8" t="s">
        <v>21</v>
      </c>
      <c r="I128" s="8" t="s">
        <v>30</v>
      </c>
      <c r="J128" s="8" t="s">
        <v>17</v>
      </c>
      <c r="K128" s="9" t="s">
        <v>18</v>
      </c>
    </row>
    <row r="129" spans="1:11" x14ac:dyDescent="0.25">
      <c r="A129" s="4" t="s">
        <v>232</v>
      </c>
      <c r="B129" s="22" t="str">
        <f>_xlfn.CONCAT("./assets/images/weddings/",Tabla_4[[#This Row],[Name of file]],".jpg")</f>
        <v>./assets/images/weddings/wed4.jpg</v>
      </c>
      <c r="C129" s="5" t="s">
        <v>238</v>
      </c>
      <c r="F129" s="20" t="str">
        <f>_xlfn.CONCAT(Tabla_4[[#This Row],[Name of file]],"hist")</f>
        <v>wed4hist</v>
      </c>
      <c r="G129" s="5">
        <v>400</v>
      </c>
      <c r="H129" s="5" t="s">
        <v>15</v>
      </c>
      <c r="I129" s="5" t="s">
        <v>22</v>
      </c>
      <c r="J129" s="5" t="s">
        <v>17</v>
      </c>
      <c r="K129" s="6" t="s">
        <v>18</v>
      </c>
    </row>
    <row r="130" spans="1:11" x14ac:dyDescent="0.25">
      <c r="A130" s="7" t="s">
        <v>232</v>
      </c>
      <c r="B130" s="22" t="str">
        <f>_xlfn.CONCAT("./assets/images/weddings/",Tabla_4[[#This Row],[Name of file]],".jpg")</f>
        <v>./assets/images/weddings/wed5.jpg</v>
      </c>
      <c r="C130" s="8" t="s">
        <v>239</v>
      </c>
      <c r="F130" s="20" t="str">
        <f>_xlfn.CONCAT(Tabla_4[[#This Row],[Name of file]],"hist")</f>
        <v>wed5hist</v>
      </c>
      <c r="G130" s="8">
        <v>160</v>
      </c>
      <c r="H130" s="8" t="s">
        <v>47</v>
      </c>
      <c r="I130" s="8" t="s">
        <v>51</v>
      </c>
      <c r="J130" s="8" t="s">
        <v>17</v>
      </c>
      <c r="K130" s="9" t="s">
        <v>18</v>
      </c>
    </row>
    <row r="131" spans="1:11" x14ac:dyDescent="0.25">
      <c r="A131" s="4" t="s">
        <v>232</v>
      </c>
      <c r="B131" s="22" t="str">
        <f>_xlfn.CONCAT("./assets/images/weddings/",Tabla_4[[#This Row],[Name of file]],".jpg")</f>
        <v>./assets/images/weddings/wed6.jpg</v>
      </c>
      <c r="C131" s="5" t="s">
        <v>240</v>
      </c>
      <c r="F131" s="20" t="str">
        <f>_xlfn.CONCAT(Tabla_4[[#This Row],[Name of file]],"hist")</f>
        <v>wed6hist</v>
      </c>
      <c r="G131" s="5">
        <v>320</v>
      </c>
      <c r="H131" s="5" t="s">
        <v>50</v>
      </c>
      <c r="I131" s="5" t="s">
        <v>201</v>
      </c>
      <c r="J131" s="5" t="s">
        <v>17</v>
      </c>
      <c r="K131" s="6" t="s">
        <v>18</v>
      </c>
    </row>
    <row r="132" spans="1:11" x14ac:dyDescent="0.25">
      <c r="A132" s="7" t="s">
        <v>232</v>
      </c>
      <c r="B132" s="22" t="str">
        <f>_xlfn.CONCAT("./assets/images/weddings/",Tabla_4[[#This Row],[Name of file]],".jpg")</f>
        <v>./assets/images/weddings/wed7.jpg</v>
      </c>
      <c r="C132" s="8" t="s">
        <v>241</v>
      </c>
      <c r="F132" s="20" t="str">
        <f>_xlfn.CONCAT(Tabla_4[[#This Row],[Name of file]],"hist")</f>
        <v>wed7hist</v>
      </c>
      <c r="G132" s="8">
        <v>100</v>
      </c>
      <c r="H132" s="8" t="s">
        <v>54</v>
      </c>
      <c r="I132" s="8" t="s">
        <v>55</v>
      </c>
      <c r="J132" s="8" t="s">
        <v>17</v>
      </c>
      <c r="K132" s="9" t="s">
        <v>18</v>
      </c>
    </row>
    <row r="133" spans="1:11" x14ac:dyDescent="0.25">
      <c r="A133" s="4" t="s">
        <v>232</v>
      </c>
      <c r="B133" s="22" t="str">
        <f>_xlfn.CONCAT("./assets/images/weddings/",Tabla_4[[#This Row],[Name of file]],".jpg")</f>
        <v>./assets/images/weddings/wed8.jpg</v>
      </c>
      <c r="C133" s="5" t="s">
        <v>242</v>
      </c>
      <c r="F133" s="20" t="str">
        <f>_xlfn.CONCAT(Tabla_4[[#This Row],[Name of file]],"hist")</f>
        <v>wed8hist</v>
      </c>
      <c r="G133" s="5">
        <v>640</v>
      </c>
      <c r="H133" s="5" t="s">
        <v>58</v>
      </c>
      <c r="I133" s="5" t="s">
        <v>30</v>
      </c>
      <c r="J133" s="5" t="s">
        <v>17</v>
      </c>
      <c r="K133" s="6" t="s">
        <v>18</v>
      </c>
    </row>
    <row r="134" spans="1:11" x14ac:dyDescent="0.25">
      <c r="A134" s="7" t="s">
        <v>232</v>
      </c>
      <c r="B134" s="22" t="str">
        <f>_xlfn.CONCAT("./assets/images/weddings/",Tabla_4[[#This Row],[Name of file]],".jpg")</f>
        <v>./assets/images/weddings/wed9.jpg</v>
      </c>
      <c r="C134" s="8" t="s">
        <v>243</v>
      </c>
      <c r="F134" s="20" t="str">
        <f>_xlfn.CONCAT(Tabla_4[[#This Row],[Name of file]],"hist")</f>
        <v>wed9hist</v>
      </c>
      <c r="G134" s="8">
        <v>200</v>
      </c>
      <c r="H134" s="8" t="s">
        <v>70</v>
      </c>
      <c r="I134" s="8" t="s">
        <v>39</v>
      </c>
      <c r="J134" s="8" t="s">
        <v>17</v>
      </c>
      <c r="K134" s="9" t="s">
        <v>18</v>
      </c>
    </row>
    <row r="135" spans="1:11" x14ac:dyDescent="0.25">
      <c r="A135" s="4" t="s">
        <v>232</v>
      </c>
      <c r="B135" s="22" t="str">
        <f>_xlfn.CONCAT("./assets/images/weddings/",Tabla_4[[#This Row],[Name of file]],".jpg")</f>
        <v>./assets/images/weddings/wed10.jpg</v>
      </c>
      <c r="C135" s="5" t="s">
        <v>244</v>
      </c>
      <c r="F135" s="20" t="str">
        <f>_xlfn.CONCAT(Tabla_4[[#This Row],[Name of file]],"hist")</f>
        <v>wed10hist</v>
      </c>
      <c r="G135" s="5">
        <v>800</v>
      </c>
      <c r="H135" s="5" t="s">
        <v>21</v>
      </c>
      <c r="I135" s="5" t="s">
        <v>30</v>
      </c>
      <c r="J135" s="5" t="s">
        <v>17</v>
      </c>
      <c r="K135" s="6" t="s">
        <v>18</v>
      </c>
    </row>
    <row r="136" spans="1:11" x14ac:dyDescent="0.25">
      <c r="A136" s="7" t="s">
        <v>232</v>
      </c>
      <c r="B136" s="22" t="str">
        <f>_xlfn.CONCAT("./assets/images/weddings/",Tabla_4[[#This Row],[Name of file]],".jpg")</f>
        <v>./assets/images/weddings/wed11.jpg</v>
      </c>
      <c r="C136" s="8" t="s">
        <v>245</v>
      </c>
      <c r="F136" s="20" t="str">
        <f>_xlfn.CONCAT(Tabla_4[[#This Row],[Name of file]],"hist")</f>
        <v>wed11hist</v>
      </c>
      <c r="G136" s="8">
        <v>100</v>
      </c>
      <c r="H136" s="8" t="s">
        <v>38</v>
      </c>
      <c r="I136" s="8" t="s">
        <v>22</v>
      </c>
      <c r="J136" s="8" t="s">
        <v>17</v>
      </c>
      <c r="K136" s="9" t="s">
        <v>18</v>
      </c>
    </row>
    <row r="137" spans="1:11" x14ac:dyDescent="0.25">
      <c r="A137" s="4" t="s">
        <v>232</v>
      </c>
      <c r="B137" s="22" t="str">
        <f>_xlfn.CONCAT("./assets/images/weddings/",Tabla_4[[#This Row],[Name of file]],".jpg")</f>
        <v>./assets/images/weddings/wed12.jpg</v>
      </c>
      <c r="C137" s="5" t="s">
        <v>246</v>
      </c>
      <c r="F137" s="20" t="str">
        <f>_xlfn.CONCAT(Tabla_4[[#This Row],[Name of file]],"hist")</f>
        <v>wed12hist</v>
      </c>
      <c r="G137" s="5">
        <v>640</v>
      </c>
      <c r="H137" s="5" t="s">
        <v>50</v>
      </c>
      <c r="I137" s="5" t="s">
        <v>51</v>
      </c>
      <c r="J137" s="5" t="s">
        <v>17</v>
      </c>
      <c r="K137" s="6" t="s">
        <v>18</v>
      </c>
    </row>
    <row r="138" spans="1:11" x14ac:dyDescent="0.25">
      <c r="A138" s="7" t="s">
        <v>232</v>
      </c>
      <c r="B138" s="22" t="str">
        <f>_xlfn.CONCAT("./assets/images/weddings/",Tabla_4[[#This Row],[Name of file]],".jpg")</f>
        <v>./assets/images/weddings/wed13.jpg</v>
      </c>
      <c r="C138" s="8" t="s">
        <v>247</v>
      </c>
      <c r="F138" s="20" t="str">
        <f>_xlfn.CONCAT(Tabla_4[[#This Row],[Name of file]],"hist")</f>
        <v>wed13hist</v>
      </c>
      <c r="G138" s="8">
        <v>320</v>
      </c>
      <c r="H138" s="8" t="s">
        <v>47</v>
      </c>
      <c r="I138" s="8" t="s">
        <v>55</v>
      </c>
      <c r="J138" s="8" t="s">
        <v>17</v>
      </c>
      <c r="K138" s="9" t="s">
        <v>18</v>
      </c>
    </row>
    <row r="139" spans="1:11" x14ac:dyDescent="0.25">
      <c r="A139" s="4" t="s">
        <v>232</v>
      </c>
      <c r="B139" s="22" t="str">
        <f>_xlfn.CONCAT("./assets/images/weddings/",Tabla_4[[#This Row],[Name of file]],".jpg")</f>
        <v>./assets/images/weddings/wed14.jpg</v>
      </c>
      <c r="C139" s="5" t="s">
        <v>248</v>
      </c>
      <c r="F139" s="20" t="str">
        <f>_xlfn.CONCAT(Tabla_4[[#This Row],[Name of file]],"hist")</f>
        <v>wed14hist</v>
      </c>
      <c r="G139" s="5">
        <v>200</v>
      </c>
      <c r="H139" s="5" t="s">
        <v>25</v>
      </c>
      <c r="I139" s="5" t="s">
        <v>39</v>
      </c>
      <c r="J139" s="5" t="s">
        <v>17</v>
      </c>
      <c r="K139" s="6" t="s">
        <v>18</v>
      </c>
    </row>
    <row r="140" spans="1:11" x14ac:dyDescent="0.25">
      <c r="A140" s="7" t="s">
        <v>232</v>
      </c>
      <c r="B140" s="22" t="str">
        <f>_xlfn.CONCAT("./assets/images/weddings/",Tabla_4[[#This Row],[Name of file]],".jpg")</f>
        <v>./assets/images/weddings/wed15.jpg</v>
      </c>
      <c r="C140" s="8" t="s">
        <v>249</v>
      </c>
      <c r="F140" s="20" t="str">
        <f>_xlfn.CONCAT(Tabla_4[[#This Row],[Name of file]],"hist")</f>
        <v>wed15hist</v>
      </c>
      <c r="G140" s="8">
        <v>400</v>
      </c>
      <c r="H140" s="8" t="s">
        <v>15</v>
      </c>
      <c r="I140" s="8" t="s">
        <v>22</v>
      </c>
      <c r="J140" s="8" t="s">
        <v>17</v>
      </c>
      <c r="K140" s="9" t="s">
        <v>18</v>
      </c>
    </row>
    <row r="141" spans="1:11" x14ac:dyDescent="0.25">
      <c r="A141" s="4" t="s">
        <v>232</v>
      </c>
      <c r="B141" s="22" t="str">
        <f>_xlfn.CONCAT("./assets/images/weddings/",Tabla_4[[#This Row],[Name of file]],".jpg")</f>
        <v>./assets/images/weddings/wed16.jpg</v>
      </c>
      <c r="C141" s="5" t="s">
        <v>250</v>
      </c>
      <c r="F141" s="20" t="str">
        <f>_xlfn.CONCAT(Tabla_4[[#This Row],[Name of file]],"hist")</f>
        <v>wed16hist</v>
      </c>
      <c r="G141" s="5">
        <v>100</v>
      </c>
      <c r="H141" s="5" t="s">
        <v>54</v>
      </c>
      <c r="I141" s="5" t="s">
        <v>201</v>
      </c>
      <c r="J141" s="5" t="s">
        <v>17</v>
      </c>
      <c r="K141" s="6" t="s">
        <v>18</v>
      </c>
    </row>
    <row r="142" spans="1:11" x14ac:dyDescent="0.25">
      <c r="A142" s="7" t="s">
        <v>232</v>
      </c>
      <c r="B142" s="22" t="str">
        <f>_xlfn.CONCAT("./assets/images/weddings/",Tabla_4[[#This Row],[Name of file]],".jpg")</f>
        <v>./assets/images/weddings/wed17.jpg</v>
      </c>
      <c r="C142" s="8" t="s">
        <v>251</v>
      </c>
      <c r="F142" s="20" t="str">
        <f>_xlfn.CONCAT(Tabla_4[[#This Row],[Name of file]],"hist")</f>
        <v>wed17hist</v>
      </c>
      <c r="G142" s="8">
        <v>800</v>
      </c>
      <c r="H142" s="8" t="s">
        <v>21</v>
      </c>
      <c r="I142" s="8" t="s">
        <v>30</v>
      </c>
      <c r="J142" s="8" t="s">
        <v>17</v>
      </c>
      <c r="K142" s="9" t="s">
        <v>18</v>
      </c>
    </row>
    <row r="143" spans="1:11" x14ac:dyDescent="0.25">
      <c r="A143" s="4" t="s">
        <v>232</v>
      </c>
      <c r="B143" s="22" t="str">
        <f>_xlfn.CONCAT("./assets/images/weddings/",Tabla_4[[#This Row],[Name of file]],".jpg")</f>
        <v>./assets/images/weddings/wed18.jpg</v>
      </c>
      <c r="C143" s="5" t="s">
        <v>252</v>
      </c>
      <c r="F143" s="20" t="str">
        <f>_xlfn.CONCAT(Tabla_4[[#This Row],[Name of file]],"hist")</f>
        <v>wed18hist</v>
      </c>
      <c r="G143" s="5">
        <v>200</v>
      </c>
      <c r="H143" s="5" t="s">
        <v>70</v>
      </c>
      <c r="I143" s="5" t="s">
        <v>39</v>
      </c>
      <c r="J143" s="5" t="s">
        <v>17</v>
      </c>
      <c r="K143" s="6" t="s">
        <v>18</v>
      </c>
    </row>
    <row r="144" spans="1:11" x14ac:dyDescent="0.25">
      <c r="A144" s="7" t="s">
        <v>232</v>
      </c>
      <c r="B144" s="22" t="str">
        <f>_xlfn.CONCAT("./assets/images/weddings/",Tabla_4[[#This Row],[Name of file]],".jpg")</f>
        <v>./assets/images/weddings/wed19.jpg</v>
      </c>
      <c r="C144" s="8" t="s">
        <v>253</v>
      </c>
      <c r="F144" s="20" t="str">
        <f>_xlfn.CONCAT(Tabla_4[[#This Row],[Name of file]],"hist")</f>
        <v>wed19hist</v>
      </c>
      <c r="G144" s="8">
        <v>640</v>
      </c>
      <c r="H144" s="8" t="s">
        <v>50</v>
      </c>
      <c r="I144" s="8" t="s">
        <v>51</v>
      </c>
      <c r="J144" s="8" t="s">
        <v>17</v>
      </c>
      <c r="K144" s="9" t="s">
        <v>18</v>
      </c>
    </row>
    <row r="145" spans="1:11" x14ac:dyDescent="0.25">
      <c r="A145" s="4" t="s">
        <v>232</v>
      </c>
      <c r="B145" s="22" t="str">
        <f>_xlfn.CONCAT("./assets/images/weddings/",Tabla_4[[#This Row],[Name of file]],".jpg")</f>
        <v>./assets/images/weddings/wed20.jpg</v>
      </c>
      <c r="C145" s="5" t="s">
        <v>254</v>
      </c>
      <c r="F145" s="20" t="str">
        <f>_xlfn.CONCAT(Tabla_4[[#This Row],[Name of file]],"hist")</f>
        <v>wed20hist</v>
      </c>
      <c r="G145" s="5">
        <v>320</v>
      </c>
      <c r="H145" s="5" t="s">
        <v>47</v>
      </c>
      <c r="I145" s="5" t="s">
        <v>55</v>
      </c>
      <c r="J145" s="5" t="s">
        <v>17</v>
      </c>
      <c r="K145" s="6" t="s">
        <v>18</v>
      </c>
    </row>
    <row r="146" spans="1:11" x14ac:dyDescent="0.25">
      <c r="A146" s="7" t="s">
        <v>232</v>
      </c>
      <c r="B146" s="22" t="str">
        <f>_xlfn.CONCAT("./assets/images/weddings/",Tabla_4[[#This Row],[Name of file]],".jpg")</f>
        <v>./assets/images/weddings/wed21.jpg</v>
      </c>
      <c r="C146" s="8" t="s">
        <v>255</v>
      </c>
      <c r="F146" s="20" t="str">
        <f>_xlfn.CONCAT(Tabla_4[[#This Row],[Name of file]],"hist")</f>
        <v>wed21hist</v>
      </c>
      <c r="G146" s="8">
        <v>200</v>
      </c>
      <c r="H146" s="8" t="s">
        <v>25</v>
      </c>
      <c r="I146" s="8" t="s">
        <v>39</v>
      </c>
      <c r="J146" s="8" t="s">
        <v>17</v>
      </c>
      <c r="K146" s="9" t="s">
        <v>18</v>
      </c>
    </row>
    <row r="147" spans="1:11" x14ac:dyDescent="0.25">
      <c r="A147" s="4" t="s">
        <v>232</v>
      </c>
      <c r="B147" s="22" t="str">
        <f>_xlfn.CONCAT("./assets/images/weddings/",Tabla_4[[#This Row],[Name of file]],".jpg")</f>
        <v>./assets/images/weddings/wed22.jpg</v>
      </c>
      <c r="C147" s="5" t="s">
        <v>256</v>
      </c>
      <c r="F147" s="20" t="str">
        <f>_xlfn.CONCAT(Tabla_4[[#This Row],[Name of file]],"hist")</f>
        <v>wed22hist</v>
      </c>
      <c r="G147" s="5">
        <v>800</v>
      </c>
      <c r="H147" s="5" t="s">
        <v>21</v>
      </c>
      <c r="I147" s="5" t="s">
        <v>30</v>
      </c>
      <c r="J147" s="5" t="s">
        <v>17</v>
      </c>
      <c r="K147" s="6" t="s">
        <v>18</v>
      </c>
    </row>
    <row r="148" spans="1:11" x14ac:dyDescent="0.25">
      <c r="A148" s="7" t="s">
        <v>232</v>
      </c>
      <c r="B148" s="22" t="str">
        <f>_xlfn.CONCAT("./assets/images/weddings/",Tabla_4[[#This Row],[Name of file]],".jpg")</f>
        <v>./assets/images/weddings/wed23.jpg</v>
      </c>
      <c r="C148" s="8" t="s">
        <v>257</v>
      </c>
      <c r="F148" s="20" t="str">
        <f>_xlfn.CONCAT(Tabla_4[[#This Row],[Name of file]],"hist")</f>
        <v>wed23hist</v>
      </c>
      <c r="G148" s="8">
        <v>100</v>
      </c>
      <c r="H148" s="8" t="s">
        <v>38</v>
      </c>
      <c r="I148" s="8" t="s">
        <v>22</v>
      </c>
      <c r="J148" s="8" t="s">
        <v>17</v>
      </c>
      <c r="K148" s="9" t="s">
        <v>18</v>
      </c>
    </row>
    <row r="149" spans="1:11" x14ac:dyDescent="0.25">
      <c r="A149" s="4" t="s">
        <v>232</v>
      </c>
      <c r="B149" s="22" t="str">
        <f>_xlfn.CONCAT("./assets/images/weddings/",Tabla_4[[#This Row],[Name of file]],".jpg")</f>
        <v>./assets/images/weddings/wed24.jpg</v>
      </c>
      <c r="C149" s="5" t="s">
        <v>258</v>
      </c>
      <c r="F149" s="20" t="str">
        <f>_xlfn.CONCAT(Tabla_4[[#This Row],[Name of file]],"hist")</f>
        <v>wed24hist</v>
      </c>
      <c r="G149" s="5">
        <v>400</v>
      </c>
      <c r="H149" s="5" t="s">
        <v>15</v>
      </c>
      <c r="I149" s="5" t="s">
        <v>39</v>
      </c>
      <c r="J149" s="5" t="s">
        <v>17</v>
      </c>
      <c r="K149" s="6" t="s">
        <v>18</v>
      </c>
    </row>
    <row r="150" spans="1:11" x14ac:dyDescent="0.25">
      <c r="A150" s="7" t="s">
        <v>232</v>
      </c>
      <c r="B150" s="22" t="str">
        <f>_xlfn.CONCAT("./assets/images/weddings/",Tabla_4[[#This Row],[Name of file]],".jpg")</f>
        <v>./assets/images/weddings/wed25.jpg</v>
      </c>
      <c r="C150" s="8" t="s">
        <v>259</v>
      </c>
      <c r="F150" s="20" t="str">
        <f>_xlfn.CONCAT(Tabla_4[[#This Row],[Name of file]],"hist")</f>
        <v>wed25hist</v>
      </c>
      <c r="G150" s="8">
        <v>640</v>
      </c>
      <c r="H150" s="8" t="s">
        <v>50</v>
      </c>
      <c r="I150" s="8" t="s">
        <v>51</v>
      </c>
      <c r="J150" s="8" t="s">
        <v>17</v>
      </c>
      <c r="K150" s="9" t="s">
        <v>18</v>
      </c>
    </row>
    <row r="151" spans="1:11" x14ac:dyDescent="0.25">
      <c r="A151" s="4" t="s">
        <v>232</v>
      </c>
      <c r="B151" s="22" t="str">
        <f>_xlfn.CONCAT("./assets/images/weddings/",Tabla_4[[#This Row],[Name of file]],".jpg")</f>
        <v>./assets/images/weddings/wed26.jpg</v>
      </c>
      <c r="C151" s="5" t="s">
        <v>260</v>
      </c>
      <c r="F151" s="20" t="str">
        <f>_xlfn.CONCAT(Tabla_4[[#This Row],[Name of file]],"hist")</f>
        <v>wed26hist</v>
      </c>
      <c r="G151" s="5">
        <v>200</v>
      </c>
      <c r="H151" s="5" t="s">
        <v>70</v>
      </c>
      <c r="I151" s="5" t="s">
        <v>55</v>
      </c>
      <c r="J151" s="5" t="s">
        <v>17</v>
      </c>
      <c r="K151" s="6" t="s">
        <v>18</v>
      </c>
    </row>
    <row r="152" spans="1:11" x14ac:dyDescent="0.25">
      <c r="A152" s="7" t="s">
        <v>232</v>
      </c>
      <c r="B152" s="22" t="str">
        <f>_xlfn.CONCAT("./assets/images/weddings/",Tabla_4[[#This Row],[Name of file]],".jpg")</f>
        <v>./assets/images/weddings/wed27.jpg</v>
      </c>
      <c r="C152" s="8" t="s">
        <v>261</v>
      </c>
      <c r="F152" s="20" t="str">
        <f>_xlfn.CONCAT(Tabla_4[[#This Row],[Name of file]],"hist")</f>
        <v>wed27hist</v>
      </c>
      <c r="G152" s="8">
        <v>800</v>
      </c>
      <c r="H152" s="8" t="s">
        <v>21</v>
      </c>
      <c r="I152" s="8" t="s">
        <v>30</v>
      </c>
      <c r="J152" s="8" t="s">
        <v>17</v>
      </c>
      <c r="K152" s="9" t="s">
        <v>18</v>
      </c>
    </row>
    <row r="153" spans="1:11" x14ac:dyDescent="0.25">
      <c r="A153" s="4" t="s">
        <v>232</v>
      </c>
      <c r="B153" s="22" t="str">
        <f>_xlfn.CONCAT("./assets/images/weddings/",Tabla_4[[#This Row],[Name of file]],".jpg")</f>
        <v>./assets/images/weddings/wed28.jpg</v>
      </c>
      <c r="C153" s="5" t="s">
        <v>262</v>
      </c>
      <c r="F153" s="20" t="str">
        <f>_xlfn.CONCAT(Tabla_4[[#This Row],[Name of file]],"hist")</f>
        <v>wed28hist</v>
      </c>
      <c r="G153" s="5">
        <v>320</v>
      </c>
      <c r="H153" s="5" t="s">
        <v>47</v>
      </c>
      <c r="I153" s="5" t="s">
        <v>22</v>
      </c>
      <c r="J153" s="5" t="s">
        <v>17</v>
      </c>
      <c r="K153" s="6" t="s">
        <v>18</v>
      </c>
    </row>
    <row r="154" spans="1:11" x14ac:dyDescent="0.25">
      <c r="A154" s="7" t="s">
        <v>232</v>
      </c>
      <c r="B154" s="22" t="str">
        <f>_xlfn.CONCAT("./assets/images/weddings/",Tabla_4[[#This Row],[Name of file]],".jpg")</f>
        <v>./assets/images/weddings/wed29.jpg</v>
      </c>
      <c r="C154" s="8" t="s">
        <v>263</v>
      </c>
      <c r="F154" s="20" t="str">
        <f>_xlfn.CONCAT(Tabla_4[[#This Row],[Name of file]],"hist")</f>
        <v>wed29hist</v>
      </c>
      <c r="G154" s="8">
        <v>100</v>
      </c>
      <c r="H154" s="8" t="s">
        <v>54</v>
      </c>
      <c r="I154" s="8" t="s">
        <v>201</v>
      </c>
      <c r="J154" s="8" t="s">
        <v>17</v>
      </c>
      <c r="K154" s="9" t="s">
        <v>18</v>
      </c>
    </row>
    <row r="155" spans="1:11" x14ac:dyDescent="0.25">
      <c r="A155" s="4" t="s">
        <v>232</v>
      </c>
      <c r="B155" s="22" t="str">
        <f>_xlfn.CONCAT("./assets/images/weddings/",Tabla_4[[#This Row],[Name of file]],".jpg")</f>
        <v>./assets/images/weddings/wed30.jpg</v>
      </c>
      <c r="C155" s="5" t="s">
        <v>264</v>
      </c>
      <c r="F155" s="20" t="str">
        <f>_xlfn.CONCAT(Tabla_4[[#This Row],[Name of file]],"hist")</f>
        <v>wed30hist</v>
      </c>
      <c r="G155" s="5">
        <v>640</v>
      </c>
      <c r="H155" s="5" t="s">
        <v>50</v>
      </c>
      <c r="I155" s="5" t="s">
        <v>51</v>
      </c>
      <c r="J155" s="5" t="s">
        <v>17</v>
      </c>
      <c r="K155" s="6" t="s">
        <v>18</v>
      </c>
    </row>
    <row r="156" spans="1:11" x14ac:dyDescent="0.25">
      <c r="A156" s="7" t="s">
        <v>232</v>
      </c>
      <c r="B156" s="22" t="str">
        <f>_xlfn.CONCAT("./assets/images/weddings/",Tabla_4[[#This Row],[Name of file]],".jpg")</f>
        <v>./assets/images/weddings/wed31.jpg</v>
      </c>
      <c r="C156" s="8" t="s">
        <v>265</v>
      </c>
      <c r="F156" s="20" t="str">
        <f>_xlfn.CONCAT(Tabla_4[[#This Row],[Name of file]],"hist")</f>
        <v>wed31hist</v>
      </c>
      <c r="G156" s="8">
        <v>200</v>
      </c>
      <c r="H156" s="8" t="s">
        <v>25</v>
      </c>
      <c r="I156" s="8" t="s">
        <v>39</v>
      </c>
      <c r="J156" s="8" t="s">
        <v>17</v>
      </c>
      <c r="K156" s="9" t="s">
        <v>18</v>
      </c>
    </row>
    <row r="157" spans="1:11" x14ac:dyDescent="0.25">
      <c r="A157" s="4" t="s">
        <v>232</v>
      </c>
      <c r="B157" s="22" t="str">
        <f>_xlfn.CONCAT("./assets/images/weddings/",Tabla_4[[#This Row],[Name of file]],".jpg")</f>
        <v>./assets/images/weddings/wed32.jpg</v>
      </c>
      <c r="C157" s="5" t="s">
        <v>266</v>
      </c>
      <c r="F157" s="20" t="str">
        <f>_xlfn.CONCAT(Tabla_4[[#This Row],[Name of file]],"hist")</f>
        <v>wed32hist</v>
      </c>
      <c r="G157" s="5">
        <v>400</v>
      </c>
      <c r="H157" s="5" t="s">
        <v>15</v>
      </c>
      <c r="I157" s="5" t="s">
        <v>22</v>
      </c>
      <c r="J157" s="5" t="s">
        <v>17</v>
      </c>
      <c r="K157" s="6" t="s">
        <v>18</v>
      </c>
    </row>
    <row r="158" spans="1:11" x14ac:dyDescent="0.25">
      <c r="A158" s="7" t="s">
        <v>232</v>
      </c>
      <c r="B158" s="22" t="str">
        <f>_xlfn.CONCAT("./assets/images/weddings/",Tabla_4[[#This Row],[Name of file]],".jpg")</f>
        <v>./assets/images/weddings/wed33.jpg</v>
      </c>
      <c r="C158" s="8" t="s">
        <v>267</v>
      </c>
      <c r="F158" s="20" t="str">
        <f>_xlfn.CONCAT(Tabla_4[[#This Row],[Name of file]],"hist")</f>
        <v>wed33hist</v>
      </c>
      <c r="G158" s="8">
        <v>800</v>
      </c>
      <c r="H158" s="8" t="s">
        <v>21</v>
      </c>
      <c r="I158" s="8" t="s">
        <v>30</v>
      </c>
      <c r="J158" s="8" t="s">
        <v>17</v>
      </c>
      <c r="K158" s="9" t="s">
        <v>18</v>
      </c>
    </row>
    <row r="159" spans="1:11" x14ac:dyDescent="0.25">
      <c r="A159" s="4" t="s">
        <v>232</v>
      </c>
      <c r="B159" s="22" t="str">
        <f>_xlfn.CONCAT("./assets/images/weddings/",Tabla_4[[#This Row],[Name of file]],".jpg")</f>
        <v>./assets/images/weddings/wed34.jpg</v>
      </c>
      <c r="C159" s="5" t="s">
        <v>268</v>
      </c>
      <c r="F159" s="20" t="str">
        <f>_xlfn.CONCAT(Tabla_4[[#This Row],[Name of file]],"hist")</f>
        <v>wed34hist</v>
      </c>
      <c r="G159" s="5">
        <v>100</v>
      </c>
      <c r="H159" s="5" t="s">
        <v>38</v>
      </c>
      <c r="I159" s="5" t="s">
        <v>55</v>
      </c>
      <c r="J159" s="5" t="s">
        <v>17</v>
      </c>
      <c r="K159" s="6" t="s">
        <v>18</v>
      </c>
    </row>
    <row r="160" spans="1:11" x14ac:dyDescent="0.25">
      <c r="A160" s="7" t="s">
        <v>232</v>
      </c>
      <c r="B160" s="22" t="str">
        <f>_xlfn.CONCAT("./assets/images/weddings/",Tabla_4[[#This Row],[Name of file]],".jpg")</f>
        <v>./assets/images/weddings/wed35.jpg</v>
      </c>
      <c r="C160" s="8" t="s">
        <v>269</v>
      </c>
      <c r="F160" s="20" t="str">
        <f>_xlfn.CONCAT(Tabla_4[[#This Row],[Name of file]],"hist")</f>
        <v>wed35hist</v>
      </c>
      <c r="G160" s="8">
        <v>320</v>
      </c>
      <c r="H160" s="8" t="s">
        <v>47</v>
      </c>
      <c r="I160" s="8" t="s">
        <v>39</v>
      </c>
      <c r="J160" s="8" t="s">
        <v>17</v>
      </c>
      <c r="K160" s="9" t="s">
        <v>18</v>
      </c>
    </row>
    <row r="161" spans="1:11" x14ac:dyDescent="0.25">
      <c r="A161" s="4" t="s">
        <v>232</v>
      </c>
      <c r="B161" s="22" t="str">
        <f>_xlfn.CONCAT("./assets/images/weddings/",Tabla_4[[#This Row],[Name of file]],".jpg")</f>
        <v>./assets/images/weddings/wed36.jpg</v>
      </c>
      <c r="C161" s="5" t="s">
        <v>270</v>
      </c>
      <c r="F161" s="20" t="str">
        <f>_xlfn.CONCAT(Tabla_4[[#This Row],[Name of file]],"hist")</f>
        <v>wed36hist</v>
      </c>
      <c r="G161" s="5">
        <v>200</v>
      </c>
      <c r="H161" s="5" t="s">
        <v>70</v>
      </c>
      <c r="I161" s="5" t="s">
        <v>22</v>
      </c>
      <c r="J161" s="5" t="s">
        <v>17</v>
      </c>
      <c r="K161" s="6" t="s">
        <v>18</v>
      </c>
    </row>
    <row r="162" spans="1:11" x14ac:dyDescent="0.25">
      <c r="A162" s="7" t="s">
        <v>232</v>
      </c>
      <c r="B162" s="22" t="str">
        <f>_xlfn.CONCAT("./assets/images/weddings/",Tabla_4[[#This Row],[Name of file]],".jpg")</f>
        <v>./assets/images/weddings/wed37.jpg</v>
      </c>
      <c r="C162" s="8" t="s">
        <v>271</v>
      </c>
      <c r="F162" s="20" t="str">
        <f>_xlfn.CONCAT(Tabla_4[[#This Row],[Name of file]],"hist")</f>
        <v>wed37hist</v>
      </c>
      <c r="G162" s="8">
        <v>640</v>
      </c>
      <c r="H162" s="8" t="s">
        <v>50</v>
      </c>
      <c r="I162" s="8" t="s">
        <v>51</v>
      </c>
      <c r="J162" s="8" t="s">
        <v>17</v>
      </c>
      <c r="K162" s="9" t="s">
        <v>18</v>
      </c>
    </row>
  </sheetData>
  <phoneticPr fontId="5" type="noConversion"/>
  <dataValidations count="5">
    <dataValidation type="list" allowBlank="1" showDropDown="1" showErrorMessage="1" sqref="I2:I162" xr:uid="{00000000-0002-0000-0000-000000000000}">
      <formula1>"F5.6,F4.0,F8.0,F2.8,F3.5,F2.2,F3.2,F4.5,F2.0,F2.5,F5.0"</formula1>
    </dataValidation>
    <dataValidation type="list" allowBlank="1" showDropDown="1" showErrorMessage="1" sqref="A2:A162" xr:uid="{00000000-0002-0000-0000-000001000000}">
      <formula1>"About Me,Portraits,Product Photography,Sports,Travels,Weddings"</formula1>
    </dataValidation>
    <dataValidation type="list" allowBlank="1" showDropDown="1" showErrorMessage="1" sqref="J2:J162" xr:uid="{00000000-0002-0000-0000-000002000000}">
      <formula1>"/about,/services,\#,/portraits,/contact,/products,/sports,/travels,/weddings"</formula1>
    </dataValidation>
    <dataValidation type="custom" allowBlank="1" showDropDown="1" sqref="G2:G162" xr:uid="{00000000-0002-0000-0000-000003000000}">
      <formula1>AND(ISNUMBER(G2),(NOT(OR(NOT(ISERROR(DATEVALUE(G2))), AND(ISNUMBER(G2), LEFT(CELL("format", G2))="D")))))</formula1>
    </dataValidation>
    <dataValidation allowBlank="1" showDropDown="1" showErrorMessage="1" sqref="B2:B162" xr:uid="{5FC954D4-CC15-4506-ABA8-0F619C84FEA6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2" max="2" width="36.28515625" customWidth="1"/>
    <col min="3" max="3" width="37.5703125" customWidth="1"/>
  </cols>
  <sheetData>
    <row r="1" spans="1:3" x14ac:dyDescent="0.25">
      <c r="A1" s="1" t="s">
        <v>272</v>
      </c>
      <c r="B1" s="2" t="s">
        <v>273</v>
      </c>
      <c r="C1" s="3" t="s">
        <v>274</v>
      </c>
    </row>
    <row r="2" spans="1:3" x14ac:dyDescent="0.25">
      <c r="A2" s="4" t="s">
        <v>275</v>
      </c>
      <c r="B2" s="14" t="s">
        <v>276</v>
      </c>
      <c r="C2" s="6" t="s">
        <v>277</v>
      </c>
    </row>
    <row r="3" spans="1:3" x14ac:dyDescent="0.25">
      <c r="A3" s="7" t="s">
        <v>278</v>
      </c>
      <c r="B3" s="15" t="s">
        <v>279</v>
      </c>
      <c r="C3" s="9" t="s">
        <v>280</v>
      </c>
    </row>
    <row r="4" spans="1:3" x14ac:dyDescent="0.25">
      <c r="A4" s="4" t="s">
        <v>281</v>
      </c>
      <c r="B4" s="14" t="s">
        <v>282</v>
      </c>
      <c r="C4" s="6" t="s">
        <v>283</v>
      </c>
    </row>
    <row r="5" spans="1:3" x14ac:dyDescent="0.25">
      <c r="A5" s="7" t="s">
        <v>284</v>
      </c>
      <c r="B5" s="8" t="s">
        <v>285</v>
      </c>
      <c r="C5" s="9" t="s">
        <v>286</v>
      </c>
    </row>
    <row r="6" spans="1:3" x14ac:dyDescent="0.25">
      <c r="A6" s="4" t="s">
        <v>287</v>
      </c>
      <c r="B6" s="5" t="s">
        <v>288</v>
      </c>
      <c r="C6" s="6" t="s">
        <v>289</v>
      </c>
    </row>
    <row r="7" spans="1:3" x14ac:dyDescent="0.25">
      <c r="A7" s="16" t="s">
        <v>290</v>
      </c>
      <c r="B7" s="17" t="s">
        <v>291</v>
      </c>
      <c r="C7" s="18" t="s">
        <v>292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1" max="1" width="17" customWidth="1"/>
    <col min="2" max="2" width="43.28515625" customWidth="1"/>
    <col min="3" max="3" width="74.42578125" customWidth="1"/>
  </cols>
  <sheetData>
    <row r="1" spans="1:3" x14ac:dyDescent="0.25">
      <c r="A1" s="1" t="s">
        <v>272</v>
      </c>
      <c r="B1" s="2" t="s">
        <v>273</v>
      </c>
      <c r="C1" s="3" t="s">
        <v>274</v>
      </c>
    </row>
    <row r="2" spans="1:3" x14ac:dyDescent="0.25">
      <c r="A2" s="4" t="s">
        <v>293</v>
      </c>
      <c r="B2" s="5" t="s">
        <v>294</v>
      </c>
      <c r="C2" s="6" t="s">
        <v>295</v>
      </c>
    </row>
    <row r="3" spans="1:3" x14ac:dyDescent="0.25">
      <c r="A3" s="7" t="s">
        <v>274</v>
      </c>
      <c r="B3" s="8" t="s">
        <v>296</v>
      </c>
      <c r="C3" s="9" t="s">
        <v>297</v>
      </c>
    </row>
    <row r="4" spans="1:3" x14ac:dyDescent="0.25">
      <c r="A4" s="4" t="s">
        <v>298</v>
      </c>
      <c r="B4" s="5" t="s">
        <v>299</v>
      </c>
      <c r="C4" s="6" t="s">
        <v>300</v>
      </c>
    </row>
    <row r="5" spans="1:3" x14ac:dyDescent="0.25">
      <c r="A5" s="7" t="s">
        <v>301</v>
      </c>
      <c r="B5" s="8" t="s">
        <v>302</v>
      </c>
      <c r="C5" s="9" t="s">
        <v>303</v>
      </c>
    </row>
    <row r="6" spans="1:3" x14ac:dyDescent="0.25">
      <c r="A6" s="4" t="s">
        <v>304</v>
      </c>
      <c r="B6" s="5" t="s">
        <v>305</v>
      </c>
      <c r="C6" s="6" t="s">
        <v>306</v>
      </c>
    </row>
    <row r="7" spans="1:3" x14ac:dyDescent="0.25">
      <c r="A7" s="7" t="s">
        <v>307</v>
      </c>
      <c r="B7" s="8" t="s">
        <v>294</v>
      </c>
      <c r="C7" s="9" t="s">
        <v>308</v>
      </c>
    </row>
    <row r="8" spans="1:3" x14ac:dyDescent="0.25">
      <c r="A8" s="4" t="s">
        <v>309</v>
      </c>
      <c r="B8" s="5" t="s">
        <v>310</v>
      </c>
      <c r="C8" s="6" t="s">
        <v>311</v>
      </c>
    </row>
    <row r="9" spans="1:3" x14ac:dyDescent="0.25">
      <c r="A9" s="7" t="s">
        <v>312</v>
      </c>
      <c r="B9" s="8" t="s">
        <v>313</v>
      </c>
      <c r="C9" s="9" t="s">
        <v>314</v>
      </c>
    </row>
    <row r="10" spans="1:3" x14ac:dyDescent="0.25">
      <c r="A10" s="4" t="s">
        <v>315</v>
      </c>
      <c r="B10" s="14" t="s">
        <v>316</v>
      </c>
      <c r="C10" s="6" t="s">
        <v>317</v>
      </c>
    </row>
    <row r="11" spans="1:3" x14ac:dyDescent="0.25">
      <c r="A11" s="7" t="s">
        <v>318</v>
      </c>
      <c r="B11" s="8" t="s">
        <v>319</v>
      </c>
      <c r="C11" s="9" t="s">
        <v>320</v>
      </c>
    </row>
    <row r="12" spans="1:3" x14ac:dyDescent="0.25">
      <c r="A12" s="4" t="s">
        <v>321</v>
      </c>
      <c r="B12" s="5" t="s">
        <v>322</v>
      </c>
      <c r="C12" s="6" t="s">
        <v>323</v>
      </c>
    </row>
    <row r="13" spans="1:3" x14ac:dyDescent="0.25">
      <c r="A13" s="7" t="s">
        <v>324</v>
      </c>
      <c r="B13" s="8" t="s">
        <v>325</v>
      </c>
      <c r="C13" s="9" t="s">
        <v>326</v>
      </c>
    </row>
    <row r="14" spans="1:3" x14ac:dyDescent="0.25">
      <c r="A14" s="4" t="s">
        <v>327</v>
      </c>
      <c r="B14" s="5" t="s">
        <v>294</v>
      </c>
      <c r="C14" s="6" t="s">
        <v>328</v>
      </c>
    </row>
    <row r="15" spans="1:3" x14ac:dyDescent="0.25">
      <c r="A15" s="7" t="s">
        <v>329</v>
      </c>
      <c r="B15" s="8" t="s">
        <v>330</v>
      </c>
      <c r="C15" s="9" t="s">
        <v>331</v>
      </c>
    </row>
    <row r="16" spans="1:3" x14ac:dyDescent="0.25">
      <c r="A16" s="11" t="s">
        <v>332</v>
      </c>
      <c r="B16" s="12" t="s">
        <v>313</v>
      </c>
      <c r="C16" s="13" t="s">
        <v>333</v>
      </c>
    </row>
  </sheetData>
  <hyperlinks>
    <hyperlink ref="B10" r:id="rId1" xr:uid="{00000000-0004-0000-02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photos</vt:lpstr>
      <vt:lpstr>metadata</vt:lpstr>
      <vt:lpstr>SEO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 Serna García</dc:creator>
  <cp:lastModifiedBy>Juan Luis Serna García</cp:lastModifiedBy>
  <dcterms:created xsi:type="dcterms:W3CDTF">2025-02-22T16:00:21Z</dcterms:created>
  <dcterms:modified xsi:type="dcterms:W3CDTF">2025-06-13T19:37:42Z</dcterms:modified>
</cp:coreProperties>
</file>